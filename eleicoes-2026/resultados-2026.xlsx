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sidente" sheetId="2" state="visible" r:id="rId2"/>
    <sheet name="Governador" sheetId="3" state="visible" r:id="rId3"/>
    <sheet name="Presidente - Municípios" sheetId="4" state="visible" r:id="rId4"/>
    <sheet name="Governador - Municípios" sheetId="5" state="visible" r:id="rId5"/>
    <sheet name="Comparaçã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00%;-0.00%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pivotButton="0" quotePrefix="0" xfId="0"/>
    <xf numFmtId="0" fontId="2" fillId="0" borderId="1" pivotButton="0" quotePrefix="0" xfId="0"/>
    <xf numFmtId="164" fontId="7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5" fontId="7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0" fontId="4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0" fontId="1" fillId="0" borderId="0" pivotButton="0" quotePrefix="0" xfId="0"/>
    <xf numFmtId="164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M2" authorId="0" shapeId="0">
      <text>
        <t>Fonte: apuração do TSE (100%) divulgada por Metrópoles, Gazeta do Povo, TV Senado, Exame e Agência Brasil, 05/10/2026. Pode diferir em centésimos do TSE.</t>
      </text>
    </comment>
    <comment ref="D31" authorId="0" shapeId="0">
      <text>
        <t>Fonte: apuração do TSE (100%) divulgada por Metrópoles, Gazeta do Povo, TV Senado, Exame e Agência Brasil, 05/10/2026. Pode diferir em centésimos do TSE.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G2" authorId="0" shapeId="0">
      <text>
        <t>Fonte: apuração do TSE (100%) divulgada por Metrópoles, Gazeta do Povo, TV Senado, Exame e Agência Brasil, 05/10/2026. Pode diferir em centésimos do TSE.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Eleições Gerais 2026 · 1º turno (04/10/2026)</t>
        </is>
      </c>
    </row>
    <row r="2">
      <c r="A2" s="2" t="inlineStr"/>
    </row>
    <row r="3">
      <c r="A3" s="3" t="inlineStr">
        <is>
          <t>Abas</t>
        </is>
      </c>
    </row>
    <row r="4">
      <c r="A4" s="2" t="inlineStr">
        <is>
          <t>Presidente / Governador: totais por estado (votos por candidato, brancos, nulos, comparecimento).</t>
        </is>
      </c>
    </row>
    <row r="5">
      <c r="A5" s="2" t="inlineStr">
        <is>
          <t>Presidente - Municípios / Governador - Municípios: votos por candidato em cada município.</t>
        </is>
      </c>
    </row>
    <row r="6">
      <c r="A6" s="2" t="inlineStr">
        <is>
          <t>Comparação: confere, estado a estado, se os números de Governador e Presidente batem.</t>
        </is>
      </c>
    </row>
    <row r="7">
      <c r="A7" s="2" t="inlineStr"/>
    </row>
    <row r="8">
      <c r="A8" s="3" t="inlineStr">
        <is>
          <t>Legenda</t>
        </is>
      </c>
    </row>
    <row r="9">
      <c r="A9" s="2" t="inlineStr">
        <is>
          <t>Células amarelas com texto azul: dados a preencher (ou já preenchidos pelo script).</t>
        </is>
      </c>
    </row>
    <row r="10">
      <c r="A10" s="2" t="inlineStr">
        <is>
          <t>Texto azul sem fundo: percentuais divulgados (fonte no comentário da célula).</t>
        </is>
      </c>
    </row>
    <row r="11">
      <c r="A11" s="2" t="inlineStr">
        <is>
          <t>Texto preto: fórmulas. Não edite.</t>
        </is>
      </c>
    </row>
    <row r="12">
      <c r="A12" s="2" t="inlineStr"/>
    </row>
    <row r="13">
      <c r="A13" s="3" t="inlineStr">
        <is>
          <t>Como preencher</t>
        </is>
      </c>
    </row>
    <row r="14">
      <c r="A14" s="2" t="inlineStr">
        <is>
          <t>1. Baixe do TSE os zips votacao_candidato_munzona_2026 e detalhe_votacao_munzona_2026 em https://cdn.tse.jus.br/estatistica/sead/odsele/ e descompacte numa pasta.</t>
        </is>
      </c>
    </row>
    <row r="15">
      <c r="A15" s="2" t="inlineStr">
        <is>
          <t>2. Rode: python3 eleicoes-2026/planilha_resultados.py --dir &lt;pasta&gt;</t>
        </is>
      </c>
    </row>
    <row r="16">
      <c r="A16" s="2" t="inlineStr"/>
    </row>
    <row r="17">
      <c r="A17" s="3" t="inlineStr">
        <is>
          <t>Por que Presidente e Governador podem não bater</t>
        </is>
      </c>
    </row>
    <row r="18">
      <c r="A18" s="2" t="inlineStr">
        <is>
          <t>O comparecimento deve ser igual nos dois cargos (o eleitor vota nos dois na mesma urna). Votos válidos, brancos e nulos variam: quem vota em presidente pode anular para governador. No DF a comparação é igual à dos estados; votos do exterior só existem para presidente e ficam fora.</t>
        </is>
      </c>
    </row>
    <row r="19">
      <c r="A19" s="2" t="inlineStr"/>
    </row>
    <row r="20">
      <c r="A20" s="4" t="inlineStr">
        <is>
          <t>Fonte: apuração do TSE (100%) divulgada por Metrópoles, Gazeta do Povo, TV Senado, Exame e Agência Brasil, 05/10/2026. Pode diferir em centésimos do TSE.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3" customWidth="1" min="8" max="8"/>
    <col width="13" customWidth="1" min="9" max="9"/>
    <col width="1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8" customWidth="1" min="15" max="15"/>
  </cols>
  <sheetData>
    <row r="1" ht="32" customHeight="1">
      <c r="A1" s="5" t="inlineStr">
        <is>
          <t>UF</t>
        </is>
      </c>
      <c r="B1" s="5" t="inlineStr">
        <is>
          <t>Estado</t>
        </is>
      </c>
      <c r="C1" s="5" t="inlineStr">
        <is>
          <t>Região</t>
        </is>
      </c>
      <c r="D1" s="5" t="inlineStr">
        <is>
          <t>Votos Flávio Bolsonaro (PL)</t>
        </is>
      </c>
      <c r="E1" s="5" t="inlineStr">
        <is>
          <t>Votos Lula (PT)</t>
        </is>
      </c>
      <c r="F1" s="5" t="inlineStr">
        <is>
          <t>Votos demais candidatos</t>
        </is>
      </c>
      <c r="G1" s="5" t="inlineStr">
        <is>
          <t>Votos válidos</t>
        </is>
      </c>
      <c r="H1" s="5" t="inlineStr">
        <is>
          <t>Brancos</t>
        </is>
      </c>
      <c r="I1" s="5" t="inlineStr">
        <is>
          <t>Nulos</t>
        </is>
      </c>
      <c r="J1" s="5" t="inlineStr">
        <is>
          <t>Comparecimento</t>
        </is>
      </c>
      <c r="K1" s="5" t="inlineStr">
        <is>
          <t>% Flávio (calculado)</t>
        </is>
      </c>
      <c r="L1" s="5" t="inlineStr">
        <is>
          <t>% Lula (calculado)</t>
        </is>
      </c>
      <c r="M1" s="5" t="inlineStr">
        <is>
          <t>% Flávio (divulgado)</t>
        </is>
      </c>
      <c r="N1" s="5" t="inlineStr">
        <is>
          <t>% Lula (divulgado)</t>
        </is>
      </c>
      <c r="O1" s="5" t="inlineStr">
        <is>
          <t>Vencedor</t>
        </is>
      </c>
    </row>
    <row r="2">
      <c r="A2" s="6" t="inlineStr">
        <is>
          <t>AC</t>
        </is>
      </c>
      <c r="B2" s="7" t="inlineStr">
        <is>
          <t>Acre</t>
        </is>
      </c>
      <c r="C2" s="7" t="inlineStr">
        <is>
          <t>Norte</t>
        </is>
      </c>
      <c r="D2" s="8" t="n"/>
      <c r="E2" s="8" t="n"/>
      <c r="F2" s="8" t="n"/>
      <c r="G2" s="9">
        <f>IF(COUNT(D2:F2)=0,"",SUM(D2:F2))</f>
        <v/>
      </c>
      <c r="H2" s="8" t="n"/>
      <c r="I2" s="8" t="n"/>
      <c r="J2" s="8" t="n"/>
      <c r="K2" s="10">
        <f>IF(N(G2)=0,"",D2/G2)</f>
        <v/>
      </c>
      <c r="L2" s="10">
        <f>IF(N(G2)=0,"",E2/G2)</f>
        <v/>
      </c>
      <c r="M2" s="11" t="n">
        <v>0.6456000000000001</v>
      </c>
      <c r="N2" s="11" t="n"/>
      <c r="O2" s="7">
        <f>IF(N(G2)&gt;0,IF(D2&gt;E2,"Flávio","Lula"),IF(N(M2)+N(N2)=0,"",IF(N(M2)&gt;N(N2),"Flávio","Lula")))</f>
        <v/>
      </c>
    </row>
    <row r="3">
      <c r="A3" s="6" t="inlineStr">
        <is>
          <t>AL</t>
        </is>
      </c>
      <c r="B3" s="7" t="inlineStr">
        <is>
          <t>Alagoas</t>
        </is>
      </c>
      <c r="C3" s="7" t="inlineStr">
        <is>
          <t>Nordeste</t>
        </is>
      </c>
      <c r="D3" s="8" t="n"/>
      <c r="E3" s="8" t="n"/>
      <c r="F3" s="8" t="n"/>
      <c r="G3" s="9">
        <f>IF(COUNT(D3:F3)=0,"",SUM(D3:F3))</f>
        <v/>
      </c>
      <c r="H3" s="8" t="n"/>
      <c r="I3" s="8" t="n"/>
      <c r="J3" s="8" t="n"/>
      <c r="K3" s="10">
        <f>IF(N(G3)=0,"",D3/G3)</f>
        <v/>
      </c>
      <c r="L3" s="10">
        <f>IF(N(G3)=0,"",E3/G3)</f>
        <v/>
      </c>
      <c r="M3" s="11" t="n"/>
      <c r="N3" s="11" t="n">
        <v>0.5473</v>
      </c>
      <c r="O3" s="7">
        <f>IF(N(G3)&gt;0,IF(D3&gt;E3,"Flávio","Lula"),IF(N(M3)+N(N3)=0,"",IF(N(M3)&gt;N(N3),"Flávio","Lula")))</f>
        <v/>
      </c>
    </row>
    <row r="4">
      <c r="A4" s="6" t="inlineStr">
        <is>
          <t>AP</t>
        </is>
      </c>
      <c r="B4" s="7" t="inlineStr">
        <is>
          <t>Amapá</t>
        </is>
      </c>
      <c r="C4" s="7" t="inlineStr">
        <is>
          <t>Norte</t>
        </is>
      </c>
      <c r="D4" s="8" t="n"/>
      <c r="E4" s="8" t="n"/>
      <c r="F4" s="8" t="n"/>
      <c r="G4" s="9">
        <f>IF(COUNT(D4:F4)=0,"",SUM(D4:F4))</f>
        <v/>
      </c>
      <c r="H4" s="8" t="n"/>
      <c r="I4" s="8" t="n"/>
      <c r="J4" s="8" t="n"/>
      <c r="K4" s="10">
        <f>IF(N(G4)=0,"",D4/G4)</f>
        <v/>
      </c>
      <c r="L4" s="10">
        <f>IF(N(G4)=0,"",E4/G4)</f>
        <v/>
      </c>
      <c r="M4" s="11" t="n">
        <v>0.4567</v>
      </c>
      <c r="N4" s="11" t="n">
        <v>0.4571</v>
      </c>
      <c r="O4" s="7">
        <f>IF(N(G4)&gt;0,IF(D4&gt;E4,"Flávio","Lula"),IF(N(M4)+N(N4)=0,"",IF(N(M4)&gt;N(N4),"Flávio","Lula")))</f>
        <v/>
      </c>
    </row>
    <row r="5">
      <c r="A5" s="6" t="inlineStr">
        <is>
          <t>AM</t>
        </is>
      </c>
      <c r="B5" s="7" t="inlineStr">
        <is>
          <t>Amazonas</t>
        </is>
      </c>
      <c r="C5" s="7" t="inlineStr">
        <is>
          <t>Norte</t>
        </is>
      </c>
      <c r="D5" s="8" t="n"/>
      <c r="E5" s="8" t="n"/>
      <c r="F5" s="8" t="n"/>
      <c r="G5" s="9">
        <f>IF(COUNT(D5:F5)=0,"",SUM(D5:F5))</f>
        <v/>
      </c>
      <c r="H5" s="8" t="n"/>
      <c r="I5" s="8" t="n"/>
      <c r="J5" s="8" t="n"/>
      <c r="K5" s="10">
        <f>IF(N(G5)=0,"",D5/G5)</f>
        <v/>
      </c>
      <c r="L5" s="10">
        <f>IF(N(G5)=0,"",E5/G5)</f>
        <v/>
      </c>
      <c r="M5" s="11" t="n">
        <v>0.45</v>
      </c>
      <c r="N5" s="11" t="n">
        <v>0.4816</v>
      </c>
      <c r="O5" s="7">
        <f>IF(N(G5)&gt;0,IF(D5&gt;E5,"Flávio","Lula"),IF(N(M5)+N(N5)=0,"",IF(N(M5)&gt;N(N5),"Flávio","Lula")))</f>
        <v/>
      </c>
    </row>
    <row r="6">
      <c r="A6" s="6" t="inlineStr">
        <is>
          <t>BA</t>
        </is>
      </c>
      <c r="B6" s="7" t="inlineStr">
        <is>
          <t>Bahia</t>
        </is>
      </c>
      <c r="C6" s="7" t="inlineStr">
        <is>
          <t>Nordeste</t>
        </is>
      </c>
      <c r="D6" s="8" t="n"/>
      <c r="E6" s="8" t="n"/>
      <c r="F6" s="8" t="n"/>
      <c r="G6" s="9">
        <f>IF(COUNT(D6:F6)=0,"",SUM(D6:F6))</f>
        <v/>
      </c>
      <c r="H6" s="8" t="n"/>
      <c r="I6" s="8" t="n"/>
      <c r="J6" s="8" t="n"/>
      <c r="K6" s="10">
        <f>IF(N(G6)=0,"",D6/G6)</f>
        <v/>
      </c>
      <c r="L6" s="10">
        <f>IF(N(G6)=0,"",E6/G6)</f>
        <v/>
      </c>
      <c r="M6" s="11" t="n"/>
      <c r="N6" s="11" t="n">
        <v>0.6617000000000001</v>
      </c>
      <c r="O6" s="7">
        <f>IF(N(G6)&gt;0,IF(D6&gt;E6,"Flávio","Lula"),IF(N(M6)+N(N6)=0,"",IF(N(M6)&gt;N(N6),"Flávio","Lula")))</f>
        <v/>
      </c>
    </row>
    <row r="7">
      <c r="A7" s="6" t="inlineStr">
        <is>
          <t>CE</t>
        </is>
      </c>
      <c r="B7" s="7" t="inlineStr">
        <is>
          <t>Ceará</t>
        </is>
      </c>
      <c r="C7" s="7" t="inlineStr">
        <is>
          <t>Nordeste</t>
        </is>
      </c>
      <c r="D7" s="8" t="n"/>
      <c r="E7" s="8" t="n"/>
      <c r="F7" s="8" t="n"/>
      <c r="G7" s="9">
        <f>IF(COUNT(D7:F7)=0,"",SUM(D7:F7))</f>
        <v/>
      </c>
      <c r="H7" s="8" t="n"/>
      <c r="I7" s="8" t="n"/>
      <c r="J7" s="8" t="n"/>
      <c r="K7" s="10">
        <f>IF(N(G7)=0,"",D7/G7)</f>
        <v/>
      </c>
      <c r="L7" s="10">
        <f>IF(N(G7)=0,"",E7/G7)</f>
        <v/>
      </c>
      <c r="M7" s="11" t="n">
        <v>0.3127</v>
      </c>
      <c r="N7" s="11" t="n">
        <v>0.6329</v>
      </c>
      <c r="O7" s="7">
        <f>IF(N(G7)&gt;0,IF(D7&gt;E7,"Flávio","Lula"),IF(N(M7)+N(N7)=0,"",IF(N(M7)&gt;N(N7),"Flávio","Lula")))</f>
        <v/>
      </c>
    </row>
    <row r="8">
      <c r="A8" s="6" t="inlineStr">
        <is>
          <t>DF</t>
        </is>
      </c>
      <c r="B8" s="7" t="inlineStr">
        <is>
          <t>Distrito Federal</t>
        </is>
      </c>
      <c r="C8" s="7" t="inlineStr">
        <is>
          <t>Centro-Oeste</t>
        </is>
      </c>
      <c r="D8" s="8" t="n"/>
      <c r="E8" s="8" t="n"/>
      <c r="F8" s="8" t="n"/>
      <c r="G8" s="9">
        <f>IF(COUNT(D8:F8)=0,"",SUM(D8:F8))</f>
        <v/>
      </c>
      <c r="H8" s="8" t="n"/>
      <c r="I8" s="8" t="n"/>
      <c r="J8" s="8" t="n"/>
      <c r="K8" s="10">
        <f>IF(N(G8)=0,"",D8/G8)</f>
        <v/>
      </c>
      <c r="L8" s="10">
        <f>IF(N(G8)=0,"",E8/G8)</f>
        <v/>
      </c>
      <c r="M8" s="11" t="n">
        <v>0.5131</v>
      </c>
      <c r="N8" s="11" t="n"/>
      <c r="O8" s="7">
        <f>IF(N(G8)&gt;0,IF(D8&gt;E8,"Flávio","Lula"),IF(N(M8)+N(N8)=0,"",IF(N(M8)&gt;N(N8),"Flávio","Lula")))</f>
        <v/>
      </c>
    </row>
    <row r="9">
      <c r="A9" s="6" t="inlineStr">
        <is>
          <t>ES</t>
        </is>
      </c>
      <c r="B9" s="7" t="inlineStr">
        <is>
          <t>Espírito Santo</t>
        </is>
      </c>
      <c r="C9" s="7" t="inlineStr">
        <is>
          <t>Sudeste</t>
        </is>
      </c>
      <c r="D9" s="8" t="n"/>
      <c r="E9" s="8" t="n"/>
      <c r="F9" s="8" t="n"/>
      <c r="G9" s="9">
        <f>IF(COUNT(D9:F9)=0,"",SUM(D9:F9))</f>
        <v/>
      </c>
      <c r="H9" s="8" t="n"/>
      <c r="I9" s="8" t="n"/>
      <c r="J9" s="8" t="n"/>
      <c r="K9" s="10">
        <f>IF(N(G9)=0,"",D9/G9)</f>
        <v/>
      </c>
      <c r="L9" s="10">
        <f>IF(N(G9)=0,"",E9/G9)</f>
        <v/>
      </c>
      <c r="M9" s="11" t="n">
        <v>0.5478000000000001</v>
      </c>
      <c r="N9" s="11" t="n"/>
      <c r="O9" s="7">
        <f>IF(N(G9)&gt;0,IF(D9&gt;E9,"Flávio","Lula"),IF(N(M9)+N(N9)=0,"",IF(N(M9)&gt;N(N9),"Flávio","Lula")))</f>
        <v/>
      </c>
    </row>
    <row r="10">
      <c r="A10" s="6" t="inlineStr">
        <is>
          <t>GO</t>
        </is>
      </c>
      <c r="B10" s="7" t="inlineStr">
        <is>
          <t>Goiás</t>
        </is>
      </c>
      <c r="C10" s="7" t="inlineStr">
        <is>
          <t>Centro-Oeste</t>
        </is>
      </c>
      <c r="D10" s="8" t="n"/>
      <c r="E10" s="8" t="n"/>
      <c r="F10" s="8" t="n"/>
      <c r="G10" s="9">
        <f>IF(COUNT(D10:F10)=0,"",SUM(D10:F10))</f>
        <v/>
      </c>
      <c r="H10" s="8" t="n"/>
      <c r="I10" s="8" t="n"/>
      <c r="J10" s="8" t="n"/>
      <c r="K10" s="10">
        <f>IF(N(G10)=0,"",D10/G10)</f>
        <v/>
      </c>
      <c r="L10" s="10">
        <f>IF(N(G10)=0,"",E10/G10)</f>
        <v/>
      </c>
      <c r="M10" s="11" t="n">
        <v>0.5361</v>
      </c>
      <c r="N10" s="11" t="n">
        <v>0.3106</v>
      </c>
      <c r="O10" s="7">
        <f>IF(N(G10)&gt;0,IF(D10&gt;E10,"Flávio","Lula"),IF(N(M10)+N(N10)=0,"",IF(N(M10)&gt;N(N10),"Flávio","Lula")))</f>
        <v/>
      </c>
    </row>
    <row r="11">
      <c r="A11" s="6" t="inlineStr">
        <is>
          <t>MA</t>
        </is>
      </c>
      <c r="B11" s="7" t="inlineStr">
        <is>
          <t>Maranhão</t>
        </is>
      </c>
      <c r="C11" s="7" t="inlineStr">
        <is>
          <t>Nordeste</t>
        </is>
      </c>
      <c r="D11" s="8" t="n"/>
      <c r="E11" s="8" t="n"/>
      <c r="F11" s="8" t="n"/>
      <c r="G11" s="9">
        <f>IF(COUNT(D11:F11)=0,"",SUM(D11:F11))</f>
        <v/>
      </c>
      <c r="H11" s="8" t="n"/>
      <c r="I11" s="8" t="n"/>
      <c r="J11" s="8" t="n"/>
      <c r="K11" s="10">
        <f>IF(N(G11)=0,"",D11/G11)</f>
        <v/>
      </c>
      <c r="L11" s="10">
        <f>IF(N(G11)=0,"",E11/G11)</f>
        <v/>
      </c>
      <c r="M11" s="11" t="n">
        <v>0.309</v>
      </c>
      <c r="N11" s="11" t="n">
        <v>0.6396000000000001</v>
      </c>
      <c r="O11" s="7">
        <f>IF(N(G11)&gt;0,IF(D11&gt;E11,"Flávio","Lula"),IF(N(M11)+N(N11)=0,"",IF(N(M11)&gt;N(N11),"Flávio","Lula")))</f>
        <v/>
      </c>
    </row>
    <row r="12">
      <c r="A12" s="6" t="inlineStr">
        <is>
          <t>MT</t>
        </is>
      </c>
      <c r="B12" s="7" t="inlineStr">
        <is>
          <t>Mato Grosso</t>
        </is>
      </c>
      <c r="C12" s="7" t="inlineStr">
        <is>
          <t>Centro-Oeste</t>
        </is>
      </c>
      <c r="D12" s="8" t="n"/>
      <c r="E12" s="8" t="n"/>
      <c r="F12" s="8" t="n"/>
      <c r="G12" s="9">
        <f>IF(COUNT(D12:F12)=0,"",SUM(D12:F12))</f>
        <v/>
      </c>
      <c r="H12" s="8" t="n"/>
      <c r="I12" s="8" t="n"/>
      <c r="J12" s="8" t="n"/>
      <c r="K12" s="10">
        <f>IF(N(G12)=0,"",D12/G12)</f>
        <v/>
      </c>
      <c r="L12" s="10">
        <f>IF(N(G12)=0,"",E12/G12)</f>
        <v/>
      </c>
      <c r="M12" s="11" t="n">
        <v>0.6515000000000001</v>
      </c>
      <c r="N12" s="11" t="n"/>
      <c r="O12" s="7">
        <f>IF(N(G12)&gt;0,IF(D12&gt;E12,"Flávio","Lula"),IF(N(M12)+N(N12)=0,"",IF(N(M12)&gt;N(N12),"Flávio","Lula")))</f>
        <v/>
      </c>
    </row>
    <row r="13">
      <c r="A13" s="6" t="inlineStr">
        <is>
          <t>MS</t>
        </is>
      </c>
      <c r="B13" s="7" t="inlineStr">
        <is>
          <t>Mato Grosso do Sul</t>
        </is>
      </c>
      <c r="C13" s="7" t="inlineStr">
        <is>
          <t>Centro-Oeste</t>
        </is>
      </c>
      <c r="D13" s="8" t="n"/>
      <c r="E13" s="8" t="n"/>
      <c r="F13" s="8" t="n"/>
      <c r="G13" s="9">
        <f>IF(COUNT(D13:F13)=0,"",SUM(D13:F13))</f>
        <v/>
      </c>
      <c r="H13" s="8" t="n"/>
      <c r="I13" s="8" t="n"/>
      <c r="J13" s="8" t="n"/>
      <c r="K13" s="10">
        <f>IF(N(G13)=0,"",D13/G13)</f>
        <v/>
      </c>
      <c r="L13" s="10">
        <f>IF(N(G13)=0,"",E13/G13)</f>
        <v/>
      </c>
      <c r="M13" s="11" t="n">
        <v>0.586</v>
      </c>
      <c r="N13" s="11" t="n"/>
      <c r="O13" s="7">
        <f>IF(N(G13)&gt;0,IF(D13&gt;E13,"Flávio","Lula"),IF(N(M13)+N(N13)=0,"",IF(N(M13)&gt;N(N13),"Flávio","Lula")))</f>
        <v/>
      </c>
    </row>
    <row r="14">
      <c r="A14" s="6" t="inlineStr">
        <is>
          <t>MG</t>
        </is>
      </c>
      <c r="B14" s="7" t="inlineStr">
        <is>
          <t>Minas Gerais</t>
        </is>
      </c>
      <c r="C14" s="7" t="inlineStr">
        <is>
          <t>Sudeste</t>
        </is>
      </c>
      <c r="D14" s="8" t="n"/>
      <c r="E14" s="8" t="n"/>
      <c r="F14" s="8" t="n"/>
      <c r="G14" s="9">
        <f>IF(COUNT(D14:F14)=0,"",SUM(D14:F14))</f>
        <v/>
      </c>
      <c r="H14" s="8" t="n"/>
      <c r="I14" s="8" t="n"/>
      <c r="J14" s="8" t="n"/>
      <c r="K14" s="10">
        <f>IF(N(G14)=0,"",D14/G14)</f>
        <v/>
      </c>
      <c r="L14" s="10">
        <f>IF(N(G14)=0,"",E14/G14)</f>
        <v/>
      </c>
      <c r="M14" s="11" t="n">
        <v>0.4824</v>
      </c>
      <c r="N14" s="11" t="n">
        <v>0.4333</v>
      </c>
      <c r="O14" s="7">
        <f>IF(N(G14)&gt;0,IF(D14&gt;E14,"Flávio","Lula"),IF(N(M14)+N(N14)=0,"",IF(N(M14)&gt;N(N14),"Flávio","Lula")))</f>
        <v/>
      </c>
    </row>
    <row r="15">
      <c r="A15" s="6" t="inlineStr">
        <is>
          <t>PA</t>
        </is>
      </c>
      <c r="B15" s="7" t="inlineStr">
        <is>
          <t>Pará</t>
        </is>
      </c>
      <c r="C15" s="7" t="inlineStr">
        <is>
          <t>Norte</t>
        </is>
      </c>
      <c r="D15" s="8" t="n"/>
      <c r="E15" s="8" t="n"/>
      <c r="F15" s="8" t="n"/>
      <c r="G15" s="9">
        <f>IF(COUNT(D15:F15)=0,"",SUM(D15:F15))</f>
        <v/>
      </c>
      <c r="H15" s="8" t="n"/>
      <c r="I15" s="8" t="n"/>
      <c r="J15" s="8" t="n"/>
      <c r="K15" s="10">
        <f>IF(N(G15)=0,"",D15/G15)</f>
        <v/>
      </c>
      <c r="L15" s="10">
        <f>IF(N(G15)=0,"",E15/G15)</f>
        <v/>
      </c>
      <c r="M15" s="11" t="n">
        <v>0.445</v>
      </c>
      <c r="N15" s="11" t="n">
        <v>0.4991</v>
      </c>
      <c r="O15" s="7">
        <f>IF(N(G15)&gt;0,IF(D15&gt;E15,"Flávio","Lula"),IF(N(M15)+N(N15)=0,"",IF(N(M15)&gt;N(N15),"Flávio","Lula")))</f>
        <v/>
      </c>
    </row>
    <row r="16">
      <c r="A16" s="6" t="inlineStr">
        <is>
          <t>PB</t>
        </is>
      </c>
      <c r="B16" s="7" t="inlineStr">
        <is>
          <t>Paraíba</t>
        </is>
      </c>
      <c r="C16" s="7" t="inlineStr">
        <is>
          <t>Nordeste</t>
        </is>
      </c>
      <c r="D16" s="8" t="n"/>
      <c r="E16" s="8" t="n"/>
      <c r="F16" s="8" t="n"/>
      <c r="G16" s="9">
        <f>IF(COUNT(D16:F16)=0,"",SUM(D16:F16))</f>
        <v/>
      </c>
      <c r="H16" s="8" t="n"/>
      <c r="I16" s="8" t="n"/>
      <c r="J16" s="8" t="n"/>
      <c r="K16" s="10">
        <f>IF(N(G16)=0,"",D16/G16)</f>
        <v/>
      </c>
      <c r="L16" s="10">
        <f>IF(N(G16)=0,"",E16/G16)</f>
        <v/>
      </c>
      <c r="M16" s="11" t="n">
        <v>0.3307</v>
      </c>
      <c r="N16" s="11" t="n">
        <v>0.6131</v>
      </c>
      <c r="O16" s="7">
        <f>IF(N(G16)&gt;0,IF(D16&gt;E16,"Flávio","Lula"),IF(N(M16)+N(N16)=0,"",IF(N(M16)&gt;N(N16),"Flávio","Lula")))</f>
        <v/>
      </c>
    </row>
    <row r="17">
      <c r="A17" s="6" t="inlineStr">
        <is>
          <t>PR</t>
        </is>
      </c>
      <c r="B17" s="7" t="inlineStr">
        <is>
          <t>Paraná</t>
        </is>
      </c>
      <c r="C17" s="7" t="inlineStr">
        <is>
          <t>Sul</t>
        </is>
      </c>
      <c r="D17" s="8" t="n"/>
      <c r="E17" s="8" t="n"/>
      <c r="F17" s="8" t="n"/>
      <c r="G17" s="9">
        <f>IF(COUNT(D17:F17)=0,"",SUM(D17:F17))</f>
        <v/>
      </c>
      <c r="H17" s="8" t="n"/>
      <c r="I17" s="8" t="n"/>
      <c r="J17" s="8" t="n"/>
      <c r="K17" s="10">
        <f>IF(N(G17)=0,"",D17/G17)</f>
        <v/>
      </c>
      <c r="L17" s="10">
        <f>IF(N(G17)=0,"",E17/G17)</f>
        <v/>
      </c>
      <c r="M17" s="11" t="n">
        <v>0.5991</v>
      </c>
      <c r="N17" s="11" t="n"/>
      <c r="O17" s="7">
        <f>IF(N(G17)&gt;0,IF(D17&gt;E17,"Flávio","Lula"),IF(N(M17)+N(N17)=0,"",IF(N(M17)&gt;N(N17),"Flávio","Lula")))</f>
        <v/>
      </c>
    </row>
    <row r="18">
      <c r="A18" s="6" t="inlineStr">
        <is>
          <t>PE</t>
        </is>
      </c>
      <c r="B18" s="7" t="inlineStr">
        <is>
          <t>Pernambuco</t>
        </is>
      </c>
      <c r="C18" s="7" t="inlineStr">
        <is>
          <t>Nordeste</t>
        </is>
      </c>
      <c r="D18" s="8" t="n"/>
      <c r="E18" s="8" t="n"/>
      <c r="F18" s="8" t="n"/>
      <c r="G18" s="9">
        <f>IF(COUNT(D18:F18)=0,"",SUM(D18:F18))</f>
        <v/>
      </c>
      <c r="H18" s="8" t="n"/>
      <c r="I18" s="8" t="n"/>
      <c r="J18" s="8" t="n"/>
      <c r="K18" s="10">
        <f>IF(N(G18)=0,"",D18/G18)</f>
        <v/>
      </c>
      <c r="L18" s="10">
        <f>IF(N(G18)=0,"",E18/G18)</f>
        <v/>
      </c>
      <c r="M18" s="11" t="n"/>
      <c r="N18" s="11" t="n">
        <v>0.6345000000000001</v>
      </c>
      <c r="O18" s="7">
        <f>IF(N(G18)&gt;0,IF(D18&gt;E18,"Flávio","Lula"),IF(N(M18)+N(N18)=0,"",IF(N(M18)&gt;N(N18),"Flávio","Lula")))</f>
        <v/>
      </c>
    </row>
    <row r="19">
      <c r="A19" s="6" t="inlineStr">
        <is>
          <t>PI</t>
        </is>
      </c>
      <c r="B19" s="7" t="inlineStr">
        <is>
          <t>Piauí</t>
        </is>
      </c>
      <c r="C19" s="7" t="inlineStr">
        <is>
          <t>Nordeste</t>
        </is>
      </c>
      <c r="D19" s="8" t="n"/>
      <c r="E19" s="8" t="n"/>
      <c r="F19" s="8" t="n"/>
      <c r="G19" s="9">
        <f>IF(COUNT(D19:F19)=0,"",SUM(D19:F19))</f>
        <v/>
      </c>
      <c r="H19" s="8" t="n"/>
      <c r="I19" s="8" t="n"/>
      <c r="J19" s="8" t="n"/>
      <c r="K19" s="10">
        <f>IF(N(G19)=0,"",D19/G19)</f>
        <v/>
      </c>
      <c r="L19" s="10">
        <f>IF(N(G19)=0,"",E19/G19)</f>
        <v/>
      </c>
      <c r="M19" s="11" t="n"/>
      <c r="N19" s="11" t="n">
        <v>0.7099</v>
      </c>
      <c r="O19" s="7">
        <f>IF(N(G19)&gt;0,IF(D19&gt;E19,"Flávio","Lula"),IF(N(M19)+N(N19)=0,"",IF(N(M19)&gt;N(N19),"Flávio","Lula")))</f>
        <v/>
      </c>
    </row>
    <row r="20">
      <c r="A20" s="6" t="inlineStr">
        <is>
          <t>RJ</t>
        </is>
      </c>
      <c r="B20" s="7" t="inlineStr">
        <is>
          <t>Rio de Janeiro</t>
        </is>
      </c>
      <c r="C20" s="7" t="inlineStr">
        <is>
          <t>Sudeste</t>
        </is>
      </c>
      <c r="D20" s="8" t="n"/>
      <c r="E20" s="8" t="n"/>
      <c r="F20" s="8" t="n"/>
      <c r="G20" s="9">
        <f>IF(COUNT(D20:F20)=0,"",SUM(D20:F20))</f>
        <v/>
      </c>
      <c r="H20" s="8" t="n"/>
      <c r="I20" s="8" t="n"/>
      <c r="J20" s="8" t="n"/>
      <c r="K20" s="10">
        <f>IF(N(G20)=0,"",D20/G20)</f>
        <v/>
      </c>
      <c r="L20" s="10">
        <f>IF(N(G20)=0,"",E20/G20)</f>
        <v/>
      </c>
      <c r="M20" s="11" t="n">
        <v>0.5301</v>
      </c>
      <c r="N20" s="11" t="n"/>
      <c r="O20" s="7">
        <f>IF(N(G20)&gt;0,IF(D20&gt;E20,"Flávio","Lula"),IF(N(M20)+N(N20)=0,"",IF(N(M20)&gt;N(N20),"Flávio","Lula")))</f>
        <v/>
      </c>
    </row>
    <row r="21">
      <c r="A21" s="6" t="inlineStr">
        <is>
          <t>RN</t>
        </is>
      </c>
      <c r="B21" s="7" t="inlineStr">
        <is>
          <t>Rio Grande do Norte</t>
        </is>
      </c>
      <c r="C21" s="7" t="inlineStr">
        <is>
          <t>Nordeste</t>
        </is>
      </c>
      <c r="D21" s="8" t="n"/>
      <c r="E21" s="8" t="n"/>
      <c r="F21" s="8" t="n"/>
      <c r="G21" s="9">
        <f>IF(COUNT(D21:F21)=0,"",SUM(D21:F21))</f>
        <v/>
      </c>
      <c r="H21" s="8" t="n"/>
      <c r="I21" s="8" t="n"/>
      <c r="J21" s="8" t="n"/>
      <c r="K21" s="10">
        <f>IF(N(G21)=0,"",D21/G21)</f>
        <v/>
      </c>
      <c r="L21" s="10">
        <f>IF(N(G21)=0,"",E21/G21)</f>
        <v/>
      </c>
      <c r="M21" s="11" t="n">
        <v>0.3477</v>
      </c>
      <c r="N21" s="11" t="n">
        <v>0.5975</v>
      </c>
      <c r="O21" s="7">
        <f>IF(N(G21)&gt;0,IF(D21&gt;E21,"Flávio","Lula"),IF(N(M21)+N(N21)=0,"",IF(N(M21)&gt;N(N21),"Flávio","Lula")))</f>
        <v/>
      </c>
    </row>
    <row r="22">
      <c r="A22" s="6" t="inlineStr">
        <is>
          <t>RS</t>
        </is>
      </c>
      <c r="B22" s="7" t="inlineStr">
        <is>
          <t>Rio Grande do Sul</t>
        </is>
      </c>
      <c r="C22" s="7" t="inlineStr">
        <is>
          <t>Sul</t>
        </is>
      </c>
      <c r="D22" s="8" t="n"/>
      <c r="E22" s="8" t="n"/>
      <c r="F22" s="8" t="n"/>
      <c r="G22" s="9">
        <f>IF(COUNT(D22:F22)=0,"",SUM(D22:F22))</f>
        <v/>
      </c>
      <c r="H22" s="8" t="n"/>
      <c r="I22" s="8" t="n"/>
      <c r="J22" s="8" t="n"/>
      <c r="K22" s="10">
        <f>IF(N(G22)=0,"",D22/G22)</f>
        <v/>
      </c>
      <c r="L22" s="10">
        <f>IF(N(G22)=0,"",E22/G22)</f>
        <v/>
      </c>
      <c r="M22" s="11" t="n">
        <v>0.5564</v>
      </c>
      <c r="N22" s="11" t="n"/>
      <c r="O22" s="7">
        <f>IF(N(G22)&gt;0,IF(D22&gt;E22,"Flávio","Lula"),IF(N(M22)+N(N22)=0,"",IF(N(M22)&gt;N(N22),"Flávio","Lula")))</f>
        <v/>
      </c>
    </row>
    <row r="23">
      <c r="A23" s="6" t="inlineStr">
        <is>
          <t>RO</t>
        </is>
      </c>
      <c r="B23" s="7" t="inlineStr">
        <is>
          <t>Rondônia</t>
        </is>
      </c>
      <c r="C23" s="7" t="inlineStr">
        <is>
          <t>Norte</t>
        </is>
      </c>
      <c r="D23" s="8" t="n"/>
      <c r="E23" s="8" t="n"/>
      <c r="F23" s="8" t="n"/>
      <c r="G23" s="9">
        <f>IF(COUNT(D23:F23)=0,"",SUM(D23:F23))</f>
        <v/>
      </c>
      <c r="H23" s="8" t="n"/>
      <c r="I23" s="8" t="n"/>
      <c r="J23" s="8" t="n"/>
      <c r="K23" s="10">
        <f>IF(N(G23)=0,"",D23/G23)</f>
        <v/>
      </c>
      <c r="L23" s="10">
        <f>IF(N(G23)=0,"",E23/G23)</f>
        <v/>
      </c>
      <c r="M23" s="11" t="n">
        <v>0.6745</v>
      </c>
      <c r="N23" s="11" t="n"/>
      <c r="O23" s="7">
        <f>IF(N(G23)&gt;0,IF(D23&gt;E23,"Flávio","Lula"),IF(N(M23)+N(N23)=0,"",IF(N(M23)&gt;N(N23),"Flávio","Lula")))</f>
        <v/>
      </c>
    </row>
    <row r="24">
      <c r="A24" s="6" t="inlineStr">
        <is>
          <t>RR</t>
        </is>
      </c>
      <c r="B24" s="7" t="inlineStr">
        <is>
          <t>Roraima</t>
        </is>
      </c>
      <c r="C24" s="7" t="inlineStr">
        <is>
          <t>Norte</t>
        </is>
      </c>
      <c r="D24" s="8" t="n"/>
      <c r="E24" s="8" t="n"/>
      <c r="F24" s="8" t="n"/>
      <c r="G24" s="9">
        <f>IF(COUNT(D24:F24)=0,"",SUM(D24:F24))</f>
        <v/>
      </c>
      <c r="H24" s="8" t="n"/>
      <c r="I24" s="8" t="n"/>
      <c r="J24" s="8" t="n"/>
      <c r="K24" s="10">
        <f>IF(N(G24)=0,"",D24/G24)</f>
        <v/>
      </c>
      <c r="L24" s="10">
        <f>IF(N(G24)=0,"",E24/G24)</f>
        <v/>
      </c>
      <c r="M24" s="11" t="n">
        <v>0.7106</v>
      </c>
      <c r="N24" s="11" t="n"/>
      <c r="O24" s="7">
        <f>IF(N(G24)&gt;0,IF(D24&gt;E24,"Flávio","Lula"),IF(N(M24)+N(N24)=0,"",IF(N(M24)&gt;N(N24),"Flávio","Lula")))</f>
        <v/>
      </c>
    </row>
    <row r="25">
      <c r="A25" s="6" t="inlineStr">
        <is>
          <t>SC</t>
        </is>
      </c>
      <c r="B25" s="7" t="inlineStr">
        <is>
          <t>Santa Catarina</t>
        </is>
      </c>
      <c r="C25" s="7" t="inlineStr">
        <is>
          <t>Sul</t>
        </is>
      </c>
      <c r="D25" s="8" t="n"/>
      <c r="E25" s="8" t="n"/>
      <c r="F25" s="8" t="n"/>
      <c r="G25" s="9">
        <f>IF(COUNT(D25:F25)=0,"",SUM(D25:F25))</f>
        <v/>
      </c>
      <c r="H25" s="8" t="n"/>
      <c r="I25" s="8" t="n"/>
      <c r="J25" s="8" t="n"/>
      <c r="K25" s="10">
        <f>IF(N(G25)=0,"",D25/G25)</f>
        <v/>
      </c>
      <c r="L25" s="10">
        <f>IF(N(G25)=0,"",E25/G25)</f>
        <v/>
      </c>
      <c r="M25" s="11" t="n">
        <v>0.6665000000000001</v>
      </c>
      <c r="N25" s="11" t="n"/>
      <c r="O25" s="7">
        <f>IF(N(G25)&gt;0,IF(D25&gt;E25,"Flávio","Lula"),IF(N(M25)+N(N25)=0,"",IF(N(M25)&gt;N(N25),"Flávio","Lula")))</f>
        <v/>
      </c>
    </row>
    <row r="26">
      <c r="A26" s="6" t="inlineStr">
        <is>
          <t>SP</t>
        </is>
      </c>
      <c r="B26" s="7" t="inlineStr">
        <is>
          <t>São Paulo</t>
        </is>
      </c>
      <c r="C26" s="7" t="inlineStr">
        <is>
          <t>Sudeste</t>
        </is>
      </c>
      <c r="D26" s="8" t="n"/>
      <c r="E26" s="8" t="n"/>
      <c r="F26" s="8" t="n"/>
      <c r="G26" s="9">
        <f>IF(COUNT(D26:F26)=0,"",SUM(D26:F26))</f>
        <v/>
      </c>
      <c r="H26" s="8" t="n"/>
      <c r="I26" s="8" t="n"/>
      <c r="J26" s="8" t="n"/>
      <c r="K26" s="10">
        <f>IF(N(G26)=0,"",D26/G26)</f>
        <v/>
      </c>
      <c r="L26" s="10">
        <f>IF(N(G26)=0,"",E26/G26)</f>
        <v/>
      </c>
      <c r="M26" s="11" t="n">
        <v>0.5193</v>
      </c>
      <c r="N26" s="11" t="n"/>
      <c r="O26" s="7">
        <f>IF(N(G26)&gt;0,IF(D26&gt;E26,"Flávio","Lula"),IF(N(M26)+N(N26)=0,"",IF(N(M26)&gt;N(N26),"Flávio","Lula")))</f>
        <v/>
      </c>
    </row>
    <row r="27">
      <c r="A27" s="6" t="inlineStr">
        <is>
          <t>SE</t>
        </is>
      </c>
      <c r="B27" s="7" t="inlineStr">
        <is>
          <t>Sergipe</t>
        </is>
      </c>
      <c r="C27" s="7" t="inlineStr">
        <is>
          <t>Nordeste</t>
        </is>
      </c>
      <c r="D27" s="8" t="n"/>
      <c r="E27" s="8" t="n"/>
      <c r="F27" s="8" t="n"/>
      <c r="G27" s="9">
        <f>IF(COUNT(D27:F27)=0,"",SUM(D27:F27))</f>
        <v/>
      </c>
      <c r="H27" s="8" t="n"/>
      <c r="I27" s="8" t="n"/>
      <c r="J27" s="8" t="n"/>
      <c r="K27" s="10">
        <f>IF(N(G27)=0,"",D27/G27)</f>
        <v/>
      </c>
      <c r="L27" s="10">
        <f>IF(N(G27)=0,"",E27/G27)</f>
        <v/>
      </c>
      <c r="M27" s="11" t="n"/>
      <c r="N27" s="11" t="n">
        <v>0.6274999999999999</v>
      </c>
      <c r="O27" s="7">
        <f>IF(N(G27)&gt;0,IF(D27&gt;E27,"Flávio","Lula"),IF(N(M27)+N(N27)=0,"",IF(N(M27)&gt;N(N27),"Flávio","Lula")))</f>
        <v/>
      </c>
    </row>
    <row r="28">
      <c r="A28" s="6" t="inlineStr">
        <is>
          <t>TO</t>
        </is>
      </c>
      <c r="B28" s="7" t="inlineStr">
        <is>
          <t>Tocantins</t>
        </is>
      </c>
      <c r="C28" s="7" t="inlineStr">
        <is>
          <t>Norte</t>
        </is>
      </c>
      <c r="D28" s="8" t="n"/>
      <c r="E28" s="8" t="n"/>
      <c r="F28" s="8" t="n"/>
      <c r="G28" s="9">
        <f>IF(COUNT(D28:F28)=0,"",SUM(D28:F28))</f>
        <v/>
      </c>
      <c r="H28" s="8" t="n"/>
      <c r="I28" s="8" t="n"/>
      <c r="J28" s="8" t="n"/>
      <c r="K28" s="10">
        <f>IF(N(G28)=0,"",D28/G28)</f>
        <v/>
      </c>
      <c r="L28" s="10">
        <f>IF(N(G28)=0,"",E28/G28)</f>
        <v/>
      </c>
      <c r="M28" s="11" t="n">
        <v>0.5044</v>
      </c>
      <c r="N28" s="11" t="n">
        <v>0.4342</v>
      </c>
      <c r="O28" s="7">
        <f>IF(N(G28)&gt;0,IF(D28&gt;E28,"Flávio","Lula"),IF(N(M28)+N(N28)=0,"",IF(N(M28)&gt;N(N28),"Flávio","Lula")))</f>
        <v/>
      </c>
    </row>
    <row r="29">
      <c r="A29" s="12" t="inlineStr">
        <is>
          <t>Total</t>
        </is>
      </c>
      <c r="B29" s="13" t="inlineStr">
        <is>
          <t>27 UFs (sem exterior)</t>
        </is>
      </c>
      <c r="D29" s="14">
        <f>SUM(D2:D28)</f>
        <v/>
      </c>
      <c r="E29" s="14">
        <f>SUM(E2:E28)</f>
        <v/>
      </c>
      <c r="F29" s="14">
        <f>SUM(F2:F28)</f>
        <v/>
      </c>
      <c r="G29" s="14">
        <f>SUM(G2:G28)</f>
        <v/>
      </c>
      <c r="H29" s="14">
        <f>SUM(H2:H28)</f>
        <v/>
      </c>
      <c r="I29" s="14">
        <f>SUM(I2:I28)</f>
        <v/>
      </c>
      <c r="J29" s="14">
        <f>SUM(J2:J28)</f>
        <v/>
      </c>
    </row>
    <row r="31">
      <c r="A31" s="12" t="inlineStr">
        <is>
          <t>Brasil (TSE, inclui exterior)</t>
        </is>
      </c>
      <c r="D31" s="15" t="n">
        <v>56104503</v>
      </c>
      <c r="E31" s="15" t="n">
        <v>53879538</v>
      </c>
    </row>
    <row r="32">
      <c r="A32" s="16" t="inlineStr">
        <is>
          <t>Fonte: apuração do TSE (100%) divulgada por Metrópoles, Gazeta do Povo, TV Senado, Exame e Agência Brasil, 05/10/2026. Pode diferir em centésimos do TSE.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24" customWidth="1" min="4" max="4"/>
    <col width="13" customWidth="1" min="5" max="5"/>
    <col width="15" customWidth="1" min="6" max="6"/>
    <col width="12" customWidth="1" min="7" max="7"/>
    <col width="26" customWidth="1" min="8" max="8"/>
    <col width="13" customWidth="1" min="9" max="9"/>
    <col width="15" customWidth="1" min="10" max="10"/>
    <col width="12" customWidth="1" min="11" max="11"/>
    <col width="16" customWidth="1" min="12" max="12"/>
    <col width="16" customWidth="1" min="13" max="13"/>
    <col width="13" customWidth="1" min="14" max="14"/>
    <col width="13" customWidth="1" min="15" max="15"/>
    <col width="16" customWidth="1" min="16" max="16"/>
    <col width="12" customWidth="1" min="17" max="17"/>
  </cols>
  <sheetData>
    <row r="1" ht="32" customHeight="1">
      <c r="A1" s="5" t="inlineStr">
        <is>
          <t>UF</t>
        </is>
      </c>
      <c r="B1" s="5" t="inlineStr">
        <is>
          <t>Estado</t>
        </is>
      </c>
      <c r="C1" s="5" t="inlineStr">
        <is>
          <t>Situação</t>
        </is>
      </c>
      <c r="D1" s="5" t="inlineStr">
        <is>
          <t>1º colocado</t>
        </is>
      </c>
      <c r="E1" s="5" t="inlineStr">
        <is>
          <t>Partido</t>
        </is>
      </c>
      <c r="F1" s="5" t="inlineStr">
        <is>
          <t>Votos 1º</t>
        </is>
      </c>
      <c r="G1" s="5" t="inlineStr">
        <is>
          <t>% 1º (divulgado)</t>
        </is>
      </c>
      <c r="H1" s="5" t="inlineStr">
        <is>
          <t>2º colocado</t>
        </is>
      </c>
      <c r="I1" s="5" t="inlineStr">
        <is>
          <t>Partido</t>
        </is>
      </c>
      <c r="J1" s="5" t="inlineStr">
        <is>
          <t>Votos 2º</t>
        </is>
      </c>
      <c r="K1" s="5" t="inlineStr">
        <is>
          <t>% 2º (divulgado)</t>
        </is>
      </c>
      <c r="L1" s="5" t="inlineStr">
        <is>
          <t>Votos demais candidatos</t>
        </is>
      </c>
      <c r="M1" s="5" t="inlineStr">
        <is>
          <t>Votos válidos</t>
        </is>
      </c>
      <c r="N1" s="5" t="inlineStr">
        <is>
          <t>Brancos</t>
        </is>
      </c>
      <c r="O1" s="5" t="inlineStr">
        <is>
          <t>Nulos</t>
        </is>
      </c>
      <c r="P1" s="5" t="inlineStr">
        <is>
          <t>Comparecimento</t>
        </is>
      </c>
      <c r="Q1" s="5" t="inlineStr">
        <is>
          <t>% 1º (calculado)</t>
        </is>
      </c>
    </row>
    <row r="2">
      <c r="A2" s="6" t="inlineStr">
        <is>
          <t>AC</t>
        </is>
      </c>
      <c r="B2" s="7" t="inlineStr">
        <is>
          <t>Acre</t>
        </is>
      </c>
      <c r="C2" s="7" t="inlineStr">
        <is>
          <t>2º turno</t>
        </is>
      </c>
      <c r="D2" s="7" t="inlineStr">
        <is>
          <t>Mailza Assis</t>
        </is>
      </c>
      <c r="E2" s="7" t="inlineStr">
        <is>
          <t>PP</t>
        </is>
      </c>
      <c r="F2" s="8" t="n"/>
      <c r="G2" s="11" t="n"/>
      <c r="H2" s="7" t="inlineStr">
        <is>
          <t>Alan Rick</t>
        </is>
      </c>
      <c r="I2" s="7" t="inlineStr">
        <is>
          <t>Republicanos</t>
        </is>
      </c>
      <c r="J2" s="8" t="n"/>
      <c r="K2" s="11" t="n"/>
      <c r="L2" s="8" t="n"/>
      <c r="M2" s="9">
        <f>IF(COUNT(F2,J2,L2)=0,"",SUM(F2,J2,L2))</f>
        <v/>
      </c>
      <c r="N2" s="8" t="n"/>
      <c r="O2" s="8" t="n"/>
      <c r="P2" s="8" t="n"/>
      <c r="Q2" s="10">
        <f>IF(N(M2)=0,"",F2/M2)</f>
        <v/>
      </c>
    </row>
    <row r="3">
      <c r="A3" s="6" t="inlineStr">
        <is>
          <t>AL</t>
        </is>
      </c>
      <c r="B3" s="7" t="inlineStr">
        <is>
          <t>Alagoas</t>
        </is>
      </c>
      <c r="C3" s="7" t="inlineStr">
        <is>
          <t>Eleito</t>
        </is>
      </c>
      <c r="D3" s="7" t="inlineStr">
        <is>
          <t>JHC</t>
        </is>
      </c>
      <c r="E3" s="7" t="inlineStr">
        <is>
          <t>PSDB</t>
        </is>
      </c>
      <c r="F3" s="8" t="n"/>
      <c r="G3" s="11" t="n">
        <v>0.5219</v>
      </c>
      <c r="H3" s="7" t="n"/>
      <c r="I3" s="7" t="n"/>
      <c r="J3" s="8" t="n"/>
      <c r="K3" s="11" t="n"/>
      <c r="L3" s="8" t="n"/>
      <c r="M3" s="9">
        <f>IF(COUNT(F3,J3,L3)=0,"",SUM(F3,J3,L3))</f>
        <v/>
      </c>
      <c r="N3" s="8" t="n"/>
      <c r="O3" s="8" t="n"/>
      <c r="P3" s="8" t="n"/>
      <c r="Q3" s="10">
        <f>IF(N(M3)=0,"",F3/M3)</f>
        <v/>
      </c>
    </row>
    <row r="4">
      <c r="A4" s="6" t="inlineStr">
        <is>
          <t>AP</t>
        </is>
      </c>
      <c r="B4" s="7" t="inlineStr">
        <is>
          <t>Amapá</t>
        </is>
      </c>
      <c r="C4" s="7" t="inlineStr">
        <is>
          <t>Eleito</t>
        </is>
      </c>
      <c r="D4" s="7" t="inlineStr">
        <is>
          <t>Dr. Furlan</t>
        </is>
      </c>
      <c r="E4" s="7" t="inlineStr">
        <is>
          <t>PSD</t>
        </is>
      </c>
      <c r="F4" s="8" t="n"/>
      <c r="G4" s="11" t="n">
        <v>0.6274999999999999</v>
      </c>
      <c r="H4" s="7" t="n"/>
      <c r="I4" s="7" t="n"/>
      <c r="J4" s="8" t="n"/>
      <c r="K4" s="11" t="n"/>
      <c r="L4" s="8" t="n"/>
      <c r="M4" s="9">
        <f>IF(COUNT(F4,J4,L4)=0,"",SUM(F4,J4,L4))</f>
        <v/>
      </c>
      <c r="N4" s="8" t="n"/>
      <c r="O4" s="8" t="n"/>
      <c r="P4" s="8" t="n"/>
      <c r="Q4" s="10">
        <f>IF(N(M4)=0,"",F4/M4)</f>
        <v/>
      </c>
    </row>
    <row r="5">
      <c r="A5" s="6" t="inlineStr">
        <is>
          <t>AM</t>
        </is>
      </c>
      <c r="B5" s="7" t="inlineStr">
        <is>
          <t>Amazonas</t>
        </is>
      </c>
      <c r="C5" s="7" t="inlineStr">
        <is>
          <t>2º turno</t>
        </is>
      </c>
      <c r="D5" s="7" t="inlineStr">
        <is>
          <t>Omar Aziz</t>
        </is>
      </c>
      <c r="E5" s="7" t="inlineStr">
        <is>
          <t>PSD</t>
        </is>
      </c>
      <c r="F5" s="8" t="n"/>
      <c r="G5" s="11" t="n">
        <v>0.4038</v>
      </c>
      <c r="H5" s="7" t="inlineStr">
        <is>
          <t>Professora Maria do Carmo</t>
        </is>
      </c>
      <c r="I5" s="7" t="inlineStr">
        <is>
          <t>PL</t>
        </is>
      </c>
      <c r="J5" s="8" t="n"/>
      <c r="K5" s="11" t="n">
        <v>0.2472</v>
      </c>
      <c r="L5" s="8" t="n"/>
      <c r="M5" s="9">
        <f>IF(COUNT(F5,J5,L5)=0,"",SUM(F5,J5,L5))</f>
        <v/>
      </c>
      <c r="N5" s="8" t="n"/>
      <c r="O5" s="8" t="n"/>
      <c r="P5" s="8" t="n"/>
      <c r="Q5" s="10">
        <f>IF(N(M5)=0,"",F5/M5)</f>
        <v/>
      </c>
    </row>
    <row r="6">
      <c r="A6" s="6" t="inlineStr">
        <is>
          <t>BA</t>
        </is>
      </c>
      <c r="B6" s="7" t="inlineStr">
        <is>
          <t>Bahia</t>
        </is>
      </c>
      <c r="C6" s="7" t="inlineStr">
        <is>
          <t>Eleito</t>
        </is>
      </c>
      <c r="D6" s="7" t="inlineStr">
        <is>
          <t>Jerônimo Rodrigues</t>
        </is>
      </c>
      <c r="E6" s="7" t="inlineStr">
        <is>
          <t>PT</t>
        </is>
      </c>
      <c r="F6" s="8" t="n"/>
      <c r="G6" s="11" t="n">
        <v>0.5579999999999999</v>
      </c>
      <c r="H6" s="7" t="n"/>
      <c r="I6" s="7" t="n"/>
      <c r="J6" s="8" t="n"/>
      <c r="K6" s="11" t="n"/>
      <c r="L6" s="8" t="n"/>
      <c r="M6" s="9">
        <f>IF(COUNT(F6,J6,L6)=0,"",SUM(F6,J6,L6))</f>
        <v/>
      </c>
      <c r="N6" s="8" t="n"/>
      <c r="O6" s="8" t="n"/>
      <c r="P6" s="8" t="n"/>
      <c r="Q6" s="10">
        <f>IF(N(M6)=0,"",F6/M6)</f>
        <v/>
      </c>
    </row>
    <row r="7">
      <c r="A7" s="6" t="inlineStr">
        <is>
          <t>CE</t>
        </is>
      </c>
      <c r="B7" s="7" t="inlineStr">
        <is>
          <t>Ceará</t>
        </is>
      </c>
      <c r="C7" s="7" t="inlineStr">
        <is>
          <t>Eleito</t>
        </is>
      </c>
      <c r="D7" s="7" t="inlineStr">
        <is>
          <t>Elmano de Freitas</t>
        </is>
      </c>
      <c r="E7" s="7" t="inlineStr">
        <is>
          <t>PT</t>
        </is>
      </c>
      <c r="F7" s="8" t="n"/>
      <c r="G7" s="11" t="n">
        <v>0.5318999999999999</v>
      </c>
      <c r="H7" s="7" t="n"/>
      <c r="I7" s="7" t="n"/>
      <c r="J7" s="8" t="n"/>
      <c r="K7" s="11" t="n"/>
      <c r="L7" s="8" t="n"/>
      <c r="M7" s="9">
        <f>IF(COUNT(F7,J7,L7)=0,"",SUM(F7,J7,L7))</f>
        <v/>
      </c>
      <c r="N7" s="8" t="n"/>
      <c r="O7" s="8" t="n"/>
      <c r="P7" s="8" t="n"/>
      <c r="Q7" s="10">
        <f>IF(N(M7)=0,"",F7/M7)</f>
        <v/>
      </c>
    </row>
    <row r="8">
      <c r="A8" s="6" t="inlineStr">
        <is>
          <t>DF</t>
        </is>
      </c>
      <c r="B8" s="7" t="inlineStr">
        <is>
          <t>Distrito Federal</t>
        </is>
      </c>
      <c r="C8" s="7" t="inlineStr">
        <is>
          <t>2º turno</t>
        </is>
      </c>
      <c r="D8" s="7" t="inlineStr">
        <is>
          <t>Celina Leão</t>
        </is>
      </c>
      <c r="E8" s="7" t="inlineStr">
        <is>
          <t>PP</t>
        </is>
      </c>
      <c r="F8" s="8" t="n"/>
      <c r="G8" s="11" t="n">
        <v>0.4993</v>
      </c>
      <c r="H8" s="7" t="inlineStr">
        <is>
          <t>Leandro Grass</t>
        </is>
      </c>
      <c r="I8" s="7" t="inlineStr">
        <is>
          <t>PT</t>
        </is>
      </c>
      <c r="J8" s="8" t="n"/>
      <c r="K8" s="11" t="n">
        <v>0.3448</v>
      </c>
      <c r="L8" s="8" t="n"/>
      <c r="M8" s="9">
        <f>IF(COUNT(F8,J8,L8)=0,"",SUM(F8,J8,L8))</f>
        <v/>
      </c>
      <c r="N8" s="8" t="n"/>
      <c r="O8" s="8" t="n"/>
      <c r="P8" s="8" t="n"/>
      <c r="Q8" s="10">
        <f>IF(N(M8)=0,"",F8/M8)</f>
        <v/>
      </c>
    </row>
    <row r="9">
      <c r="A9" s="6" t="inlineStr">
        <is>
          <t>ES</t>
        </is>
      </c>
      <c r="B9" s="7" t="inlineStr">
        <is>
          <t>Espírito Santo</t>
        </is>
      </c>
      <c r="C9" s="7" t="inlineStr">
        <is>
          <t>2º turno</t>
        </is>
      </c>
      <c r="D9" s="7" t="inlineStr">
        <is>
          <t>Lorenzo Pazolini</t>
        </is>
      </c>
      <c r="E9" s="7" t="inlineStr">
        <is>
          <t>Republicanos</t>
        </is>
      </c>
      <c r="F9" s="8" t="n"/>
      <c r="G9" s="11" t="n">
        <v>0.4965</v>
      </c>
      <c r="H9" s="7" t="inlineStr">
        <is>
          <t>Ricardo Ferraço</t>
        </is>
      </c>
      <c r="I9" s="7" t="inlineStr">
        <is>
          <t>MDB</t>
        </is>
      </c>
      <c r="J9" s="8" t="n"/>
      <c r="K9" s="11" t="n">
        <v>0.3406</v>
      </c>
      <c r="L9" s="8" t="n"/>
      <c r="M9" s="9">
        <f>IF(COUNT(F9,J9,L9)=0,"",SUM(F9,J9,L9))</f>
        <v/>
      </c>
      <c r="N9" s="8" t="n"/>
      <c r="O9" s="8" t="n"/>
      <c r="P9" s="8" t="n"/>
      <c r="Q9" s="10">
        <f>IF(N(M9)=0,"",F9/M9)</f>
        <v/>
      </c>
    </row>
    <row r="10">
      <c r="A10" s="6" t="inlineStr">
        <is>
          <t>GO</t>
        </is>
      </c>
      <c r="B10" s="7" t="inlineStr">
        <is>
          <t>Goiás</t>
        </is>
      </c>
      <c r="C10" s="7" t="inlineStr">
        <is>
          <t>Eleito</t>
        </is>
      </c>
      <c r="D10" s="7" t="inlineStr">
        <is>
          <t>Daniel Vilela</t>
        </is>
      </c>
      <c r="E10" s="7" t="inlineStr">
        <is>
          <t>MDB</t>
        </is>
      </c>
      <c r="F10" s="8" t="n"/>
      <c r="G10" s="11" t="n">
        <v>0.5917</v>
      </c>
      <c r="H10" s="7" t="n"/>
      <c r="I10" s="7" t="n"/>
      <c r="J10" s="8" t="n"/>
      <c r="K10" s="11" t="n"/>
      <c r="L10" s="8" t="n"/>
      <c r="M10" s="9">
        <f>IF(COUNT(F10,J10,L10)=0,"",SUM(F10,J10,L10))</f>
        <v/>
      </c>
      <c r="N10" s="8" t="n"/>
      <c r="O10" s="8" t="n"/>
      <c r="P10" s="8" t="n"/>
      <c r="Q10" s="10">
        <f>IF(N(M10)=0,"",F10/M10)</f>
        <v/>
      </c>
    </row>
    <row r="11">
      <c r="A11" s="6" t="inlineStr">
        <is>
          <t>MA</t>
        </is>
      </c>
      <c r="B11" s="7" t="inlineStr">
        <is>
          <t>Maranhão</t>
        </is>
      </c>
      <c r="C11" s="7" t="inlineStr">
        <is>
          <t>Eleito</t>
        </is>
      </c>
      <c r="D11" s="7" t="inlineStr">
        <is>
          <t>Eduardo Braide</t>
        </is>
      </c>
      <c r="E11" s="7" t="inlineStr">
        <is>
          <t>PSD</t>
        </is>
      </c>
      <c r="F11" s="8" t="n"/>
      <c r="G11" s="11" t="n">
        <v>0.5402</v>
      </c>
      <c r="H11" s="7" t="n"/>
      <c r="I11" s="7" t="n"/>
      <c r="J11" s="8" t="n"/>
      <c r="K11" s="11" t="n"/>
      <c r="L11" s="8" t="n"/>
      <c r="M11" s="9">
        <f>IF(COUNT(F11,J11,L11)=0,"",SUM(F11,J11,L11))</f>
        <v/>
      </c>
      <c r="N11" s="8" t="n"/>
      <c r="O11" s="8" t="n"/>
      <c r="P11" s="8" t="n"/>
      <c r="Q11" s="10">
        <f>IF(N(M11)=0,"",F11/M11)</f>
        <v/>
      </c>
    </row>
    <row r="12">
      <c r="A12" s="6" t="inlineStr">
        <is>
          <t>MT</t>
        </is>
      </c>
      <c r="B12" s="7" t="inlineStr">
        <is>
          <t>Mato Grosso</t>
        </is>
      </c>
      <c r="C12" s="7" t="inlineStr">
        <is>
          <t>Eleito</t>
        </is>
      </c>
      <c r="D12" s="7" t="inlineStr">
        <is>
          <t>Otaviano Pivetta</t>
        </is>
      </c>
      <c r="E12" s="7" t="inlineStr">
        <is>
          <t>Republicanos</t>
        </is>
      </c>
      <c r="F12" s="8" t="n"/>
      <c r="G12" s="11" t="n">
        <v>0.6077</v>
      </c>
      <c r="H12" s="7" t="n"/>
      <c r="I12" s="7" t="n"/>
      <c r="J12" s="8" t="n"/>
      <c r="K12" s="11" t="n"/>
      <c r="L12" s="8" t="n"/>
      <c r="M12" s="9">
        <f>IF(COUNT(F12,J12,L12)=0,"",SUM(F12,J12,L12))</f>
        <v/>
      </c>
      <c r="N12" s="8" t="n"/>
      <c r="O12" s="8" t="n"/>
      <c r="P12" s="8" t="n"/>
      <c r="Q12" s="10">
        <f>IF(N(M12)=0,"",F12/M12)</f>
        <v/>
      </c>
    </row>
    <row r="13">
      <c r="A13" s="6" t="inlineStr">
        <is>
          <t>MS</t>
        </is>
      </c>
      <c r="B13" s="7" t="inlineStr">
        <is>
          <t>Mato Grosso do Sul</t>
        </is>
      </c>
      <c r="C13" s="7" t="inlineStr">
        <is>
          <t>Eleito</t>
        </is>
      </c>
      <c r="D13" s="7" t="inlineStr">
        <is>
          <t>Eduardo Riedel</t>
        </is>
      </c>
      <c r="E13" s="7" t="inlineStr">
        <is>
          <t>PP</t>
        </is>
      </c>
      <c r="F13" s="8" t="n"/>
      <c r="G13" s="11" t="n">
        <v>0.6707</v>
      </c>
      <c r="H13" s="7" t="n"/>
      <c r="I13" s="7" t="n"/>
      <c r="J13" s="8" t="n"/>
      <c r="K13" s="11" t="n"/>
      <c r="L13" s="8" t="n"/>
      <c r="M13" s="9">
        <f>IF(COUNT(F13,J13,L13)=0,"",SUM(F13,J13,L13))</f>
        <v/>
      </c>
      <c r="N13" s="8" t="n"/>
      <c r="O13" s="8" t="n"/>
      <c r="P13" s="8" t="n"/>
      <c r="Q13" s="10">
        <f>IF(N(M13)=0,"",F13/M13)</f>
        <v/>
      </c>
    </row>
    <row r="14">
      <c r="A14" s="6" t="inlineStr">
        <is>
          <t>MG</t>
        </is>
      </c>
      <c r="B14" s="7" t="inlineStr">
        <is>
          <t>Minas Gerais</t>
        </is>
      </c>
      <c r="C14" s="7" t="inlineStr">
        <is>
          <t>Eleito</t>
        </is>
      </c>
      <c r="D14" s="7" t="inlineStr">
        <is>
          <t>Cleitinho Azevedo</t>
        </is>
      </c>
      <c r="E14" s="7" t="inlineStr">
        <is>
          <t>Republicanos</t>
        </is>
      </c>
      <c r="F14" s="8" t="n"/>
      <c r="G14" s="11" t="n">
        <v>0.5539999999999999</v>
      </c>
      <c r="H14" s="7" t="n"/>
      <c r="I14" s="7" t="n"/>
      <c r="J14" s="8" t="n"/>
      <c r="K14" s="11" t="n"/>
      <c r="L14" s="8" t="n"/>
      <c r="M14" s="9">
        <f>IF(COUNT(F14,J14,L14)=0,"",SUM(F14,J14,L14))</f>
        <v/>
      </c>
      <c r="N14" s="8" t="n"/>
      <c r="O14" s="8" t="n"/>
      <c r="P14" s="8" t="n"/>
      <c r="Q14" s="10">
        <f>IF(N(M14)=0,"",F14/M14)</f>
        <v/>
      </c>
    </row>
    <row r="15">
      <c r="A15" s="6" t="inlineStr">
        <is>
          <t>PA</t>
        </is>
      </c>
      <c r="B15" s="7" t="inlineStr">
        <is>
          <t>Pará</t>
        </is>
      </c>
      <c r="C15" s="7" t="inlineStr">
        <is>
          <t>Eleito</t>
        </is>
      </c>
      <c r="D15" s="7" t="inlineStr">
        <is>
          <t>Dr. Daniel</t>
        </is>
      </c>
      <c r="E15" s="7" t="inlineStr">
        <is>
          <t>Podemos</t>
        </is>
      </c>
      <c r="F15" s="8" t="n"/>
      <c r="G15" s="11" t="n">
        <v>0.5175</v>
      </c>
      <c r="H15" s="7" t="n"/>
      <c r="I15" s="7" t="n"/>
      <c r="J15" s="8" t="n"/>
      <c r="K15" s="11" t="n"/>
      <c r="L15" s="8" t="n"/>
      <c r="M15" s="9">
        <f>IF(COUNT(F15,J15,L15)=0,"",SUM(F15,J15,L15))</f>
        <v/>
      </c>
      <c r="N15" s="8" t="n"/>
      <c r="O15" s="8" t="n"/>
      <c r="P15" s="8" t="n"/>
      <c r="Q15" s="10">
        <f>IF(N(M15)=0,"",F15/M15)</f>
        <v/>
      </c>
    </row>
    <row r="16">
      <c r="A16" s="6" t="inlineStr">
        <is>
          <t>PB</t>
        </is>
      </c>
      <c r="B16" s="7" t="inlineStr">
        <is>
          <t>Paraíba</t>
        </is>
      </c>
      <c r="C16" s="7" t="inlineStr">
        <is>
          <t>Eleito</t>
        </is>
      </c>
      <c r="D16" s="7" t="inlineStr">
        <is>
          <t>Lucas Ribeiro</t>
        </is>
      </c>
      <c r="E16" s="7" t="inlineStr">
        <is>
          <t>PP</t>
        </is>
      </c>
      <c r="F16" s="8" t="n"/>
      <c r="G16" s="11" t="n">
        <v>0.643</v>
      </c>
      <c r="H16" s="7" t="n"/>
      <c r="I16" s="7" t="n"/>
      <c r="J16" s="8" t="n"/>
      <c r="K16" s="11" t="n"/>
      <c r="L16" s="8" t="n"/>
      <c r="M16" s="9">
        <f>IF(COUNT(F16,J16,L16)=0,"",SUM(F16,J16,L16))</f>
        <v/>
      </c>
      <c r="N16" s="8" t="n"/>
      <c r="O16" s="8" t="n"/>
      <c r="P16" s="8" t="n"/>
      <c r="Q16" s="10">
        <f>IF(N(M16)=0,"",F16/M16)</f>
        <v/>
      </c>
    </row>
    <row r="17">
      <c r="A17" s="6" t="inlineStr">
        <is>
          <t>PR</t>
        </is>
      </c>
      <c r="B17" s="7" t="inlineStr">
        <is>
          <t>Paraná</t>
        </is>
      </c>
      <c r="C17" s="7" t="inlineStr">
        <is>
          <t>Eleito</t>
        </is>
      </c>
      <c r="D17" s="7" t="inlineStr">
        <is>
          <t>Sergio Moro</t>
        </is>
      </c>
      <c r="E17" s="7" t="inlineStr">
        <is>
          <t>PL</t>
        </is>
      </c>
      <c r="F17" s="8" t="n"/>
      <c r="G17" s="11" t="n">
        <v>0.501</v>
      </c>
      <c r="H17" s="7" t="n"/>
      <c r="I17" s="7" t="n"/>
      <c r="J17" s="8" t="n"/>
      <c r="K17" s="11" t="n"/>
      <c r="L17" s="8" t="n"/>
      <c r="M17" s="9">
        <f>IF(COUNT(F17,J17,L17)=0,"",SUM(F17,J17,L17))</f>
        <v/>
      </c>
      <c r="N17" s="8" t="n"/>
      <c r="O17" s="8" t="n"/>
      <c r="P17" s="8" t="n"/>
      <c r="Q17" s="10">
        <f>IF(N(M17)=0,"",F17/M17)</f>
        <v/>
      </c>
    </row>
    <row r="18">
      <c r="A18" s="6" t="inlineStr">
        <is>
          <t>PE</t>
        </is>
      </c>
      <c r="B18" s="7" t="inlineStr">
        <is>
          <t>Pernambuco</t>
        </is>
      </c>
      <c r="C18" s="7" t="inlineStr">
        <is>
          <t>Eleito</t>
        </is>
      </c>
      <c r="D18" s="7" t="inlineStr">
        <is>
          <t>Raquel Lyra</t>
        </is>
      </c>
      <c r="E18" s="7" t="inlineStr">
        <is>
          <t>PSD</t>
        </is>
      </c>
      <c r="F18" s="8" t="n"/>
      <c r="G18" s="11" t="n">
        <v>0.5327000000000001</v>
      </c>
      <c r="H18" s="7" t="n"/>
      <c r="I18" s="7" t="n"/>
      <c r="J18" s="8" t="n"/>
      <c r="K18" s="11" t="n"/>
      <c r="L18" s="8" t="n"/>
      <c r="M18" s="9">
        <f>IF(COUNT(F18,J18,L18)=0,"",SUM(F18,J18,L18))</f>
        <v/>
      </c>
      <c r="N18" s="8" t="n"/>
      <c r="O18" s="8" t="n"/>
      <c r="P18" s="8" t="n"/>
      <c r="Q18" s="10">
        <f>IF(N(M18)=0,"",F18/M18)</f>
        <v/>
      </c>
    </row>
    <row r="19">
      <c r="A19" s="6" t="inlineStr">
        <is>
          <t>PI</t>
        </is>
      </c>
      <c r="B19" s="7" t="inlineStr">
        <is>
          <t>Piauí</t>
        </is>
      </c>
      <c r="C19" s="7" t="inlineStr">
        <is>
          <t>Eleito</t>
        </is>
      </c>
      <c r="D19" s="7" t="inlineStr">
        <is>
          <t>Rafael Fonteles</t>
        </is>
      </c>
      <c r="E19" s="7" t="inlineStr">
        <is>
          <t>PT</t>
        </is>
      </c>
      <c r="F19" s="8" t="n"/>
      <c r="G19" s="11" t="n">
        <v>0.7090000000000001</v>
      </c>
      <c r="H19" s="7" t="n"/>
      <c r="I19" s="7" t="n"/>
      <c r="J19" s="8" t="n"/>
      <c r="K19" s="11" t="n"/>
      <c r="L19" s="8" t="n"/>
      <c r="M19" s="9">
        <f>IF(COUNT(F19,J19,L19)=0,"",SUM(F19,J19,L19))</f>
        <v/>
      </c>
      <c r="N19" s="8" t="n"/>
      <c r="O19" s="8" t="n"/>
      <c r="P19" s="8" t="n"/>
      <c r="Q19" s="10">
        <f>IF(N(M19)=0,"",F19/M19)</f>
        <v/>
      </c>
    </row>
    <row r="20">
      <c r="A20" s="6" t="inlineStr">
        <is>
          <t>RJ</t>
        </is>
      </c>
      <c r="B20" s="7" t="inlineStr">
        <is>
          <t>Rio de Janeiro</t>
        </is>
      </c>
      <c r="C20" s="7" t="inlineStr">
        <is>
          <t>2º turno</t>
        </is>
      </c>
      <c r="D20" s="7" t="inlineStr">
        <is>
          <t>Douglas Ruas</t>
        </is>
      </c>
      <c r="E20" s="7" t="inlineStr">
        <is>
          <t>PL</t>
        </is>
      </c>
      <c r="F20" s="8" t="n"/>
      <c r="G20" s="11" t="n">
        <v>0.4927</v>
      </c>
      <c r="H20" s="7" t="inlineStr">
        <is>
          <t>Eduardo Paes</t>
        </is>
      </c>
      <c r="I20" s="7" t="inlineStr">
        <is>
          <t>PSD</t>
        </is>
      </c>
      <c r="J20" s="8" t="n"/>
      <c r="K20" s="11" t="n">
        <v>0.4276</v>
      </c>
      <c r="L20" s="8" t="n"/>
      <c r="M20" s="9">
        <f>IF(COUNT(F20,J20,L20)=0,"",SUM(F20,J20,L20))</f>
        <v/>
      </c>
      <c r="N20" s="8" t="n"/>
      <c r="O20" s="8" t="n"/>
      <c r="P20" s="8" t="n"/>
      <c r="Q20" s="10">
        <f>IF(N(M20)=0,"",F20/M20)</f>
        <v/>
      </c>
    </row>
    <row r="21">
      <c r="A21" s="6" t="inlineStr">
        <is>
          <t>RN</t>
        </is>
      </c>
      <c r="B21" s="7" t="inlineStr">
        <is>
          <t>Rio Grande do Norte</t>
        </is>
      </c>
      <c r="C21" s="7" t="inlineStr">
        <is>
          <t>2º turno</t>
        </is>
      </c>
      <c r="D21" s="7" t="inlineStr">
        <is>
          <t>Allyson</t>
        </is>
      </c>
      <c r="E21" s="7" t="inlineStr">
        <is>
          <t>União</t>
        </is>
      </c>
      <c r="F21" s="8" t="n"/>
      <c r="G21" s="11" t="n">
        <v>0.3683</v>
      </c>
      <c r="H21" s="7" t="inlineStr">
        <is>
          <t>Cadu de Lula</t>
        </is>
      </c>
      <c r="I21" s="7" t="inlineStr">
        <is>
          <t>PT</t>
        </is>
      </c>
      <c r="J21" s="8" t="n"/>
      <c r="K21" s="11" t="n">
        <v>0.3621</v>
      </c>
      <c r="L21" s="8" t="n"/>
      <c r="M21" s="9">
        <f>IF(COUNT(F21,J21,L21)=0,"",SUM(F21,J21,L21))</f>
        <v/>
      </c>
      <c r="N21" s="8" t="n"/>
      <c r="O21" s="8" t="n"/>
      <c r="P21" s="8" t="n"/>
      <c r="Q21" s="10">
        <f>IF(N(M21)=0,"",F21/M21)</f>
        <v/>
      </c>
    </row>
    <row r="22">
      <c r="A22" s="6" t="inlineStr">
        <is>
          <t>RS</t>
        </is>
      </c>
      <c r="B22" s="7" t="inlineStr">
        <is>
          <t>Rio Grande do Sul</t>
        </is>
      </c>
      <c r="C22" s="7" t="inlineStr">
        <is>
          <t>Eleito</t>
        </is>
      </c>
      <c r="D22" s="7" t="inlineStr">
        <is>
          <t>Luciano Zucco</t>
        </is>
      </c>
      <c r="E22" s="7" t="inlineStr">
        <is>
          <t>PL</t>
        </is>
      </c>
      <c r="F22" s="8" t="n"/>
      <c r="G22" s="11" t="n">
        <v>0.5805</v>
      </c>
      <c r="H22" s="7" t="n"/>
      <c r="I22" s="7" t="n"/>
      <c r="J22" s="8" t="n"/>
      <c r="K22" s="11" t="n"/>
      <c r="L22" s="8" t="n"/>
      <c r="M22" s="9">
        <f>IF(COUNT(F22,J22,L22)=0,"",SUM(F22,J22,L22))</f>
        <v/>
      </c>
      <c r="N22" s="8" t="n"/>
      <c r="O22" s="8" t="n"/>
      <c r="P22" s="8" t="n"/>
      <c r="Q22" s="10">
        <f>IF(N(M22)=0,"",F22/M22)</f>
        <v/>
      </c>
    </row>
    <row r="23">
      <c r="A23" s="6" t="inlineStr">
        <is>
          <t>RO</t>
        </is>
      </c>
      <c r="B23" s="7" t="inlineStr">
        <is>
          <t>Rondônia</t>
        </is>
      </c>
      <c r="C23" s="7" t="inlineStr">
        <is>
          <t>Eleito</t>
        </is>
      </c>
      <c r="D23" s="7" t="inlineStr">
        <is>
          <t>Marcos Rogério</t>
        </is>
      </c>
      <c r="E23" s="7" t="inlineStr">
        <is>
          <t>PL</t>
        </is>
      </c>
      <c r="F23" s="8" t="n"/>
      <c r="G23" s="11" t="n">
        <v>0.5686</v>
      </c>
      <c r="H23" s="7" t="n"/>
      <c r="I23" s="7" t="n"/>
      <c r="J23" s="8" t="n"/>
      <c r="K23" s="11" t="n"/>
      <c r="L23" s="8" t="n"/>
      <c r="M23" s="9">
        <f>IF(COUNT(F23,J23,L23)=0,"",SUM(F23,J23,L23))</f>
        <v/>
      </c>
      <c r="N23" s="8" t="n"/>
      <c r="O23" s="8" t="n"/>
      <c r="P23" s="8" t="n"/>
      <c r="Q23" s="10">
        <f>IF(N(M23)=0,"",F23/M23)</f>
        <v/>
      </c>
    </row>
    <row r="24">
      <c r="A24" s="6" t="inlineStr">
        <is>
          <t>RR</t>
        </is>
      </c>
      <c r="B24" s="7" t="inlineStr">
        <is>
          <t>Roraima</t>
        </is>
      </c>
      <c r="C24" s="7" t="inlineStr">
        <is>
          <t>Eleito</t>
        </is>
      </c>
      <c r="D24" s="7" t="inlineStr">
        <is>
          <t>Arthur Henrique</t>
        </is>
      </c>
      <c r="E24" s="7" t="inlineStr">
        <is>
          <t>PL</t>
        </is>
      </c>
      <c r="F24" s="8" t="n"/>
      <c r="G24" s="11" t="n">
        <v>0.6912999999999999</v>
      </c>
      <c r="H24" s="7" t="n"/>
      <c r="I24" s="7" t="n"/>
      <c r="J24" s="8" t="n"/>
      <c r="K24" s="11" t="n"/>
      <c r="L24" s="8" t="n"/>
      <c r="M24" s="9">
        <f>IF(COUNT(F24,J24,L24)=0,"",SUM(F24,J24,L24))</f>
        <v/>
      </c>
      <c r="N24" s="8" t="n"/>
      <c r="O24" s="8" t="n"/>
      <c r="P24" s="8" t="n"/>
      <c r="Q24" s="10">
        <f>IF(N(M24)=0,"",F24/M24)</f>
        <v/>
      </c>
    </row>
    <row r="25">
      <c r="A25" s="6" t="inlineStr">
        <is>
          <t>SC</t>
        </is>
      </c>
      <c r="B25" s="7" t="inlineStr">
        <is>
          <t>Santa Catarina</t>
        </is>
      </c>
      <c r="C25" s="7" t="inlineStr">
        <is>
          <t>Eleito</t>
        </is>
      </c>
      <c r="D25" s="7" t="inlineStr">
        <is>
          <t>Jorginho Mello</t>
        </is>
      </c>
      <c r="E25" s="7" t="inlineStr">
        <is>
          <t>PL</t>
        </is>
      </c>
      <c r="F25" s="8" t="n"/>
      <c r="G25" s="11" t="n">
        <v>0.6898000000000001</v>
      </c>
      <c r="H25" s="7" t="n"/>
      <c r="I25" s="7" t="n"/>
      <c r="J25" s="8" t="n"/>
      <c r="K25" s="11" t="n"/>
      <c r="L25" s="8" t="n"/>
      <c r="M25" s="9">
        <f>IF(COUNT(F25,J25,L25)=0,"",SUM(F25,J25,L25))</f>
        <v/>
      </c>
      <c r="N25" s="8" t="n"/>
      <c r="O25" s="8" t="n"/>
      <c r="P25" s="8" t="n"/>
      <c r="Q25" s="10">
        <f>IF(N(M25)=0,"",F25/M25)</f>
        <v/>
      </c>
    </row>
    <row r="26">
      <c r="A26" s="6" t="inlineStr">
        <is>
          <t>SP</t>
        </is>
      </c>
      <c r="B26" s="7" t="inlineStr">
        <is>
          <t>São Paulo</t>
        </is>
      </c>
      <c r="C26" s="7" t="inlineStr">
        <is>
          <t>Eleito</t>
        </is>
      </c>
      <c r="D26" s="7" t="inlineStr">
        <is>
          <t>Tarcísio de Freitas</t>
        </is>
      </c>
      <c r="E26" s="7" t="inlineStr">
        <is>
          <t>Republicanos</t>
        </is>
      </c>
      <c r="F26" s="8" t="n"/>
      <c r="G26" s="11" t="n">
        <v>0.6264999999999999</v>
      </c>
      <c r="H26" s="7" t="n"/>
      <c r="I26" s="7" t="n"/>
      <c r="J26" s="8" t="n"/>
      <c r="K26" s="11" t="n"/>
      <c r="L26" s="8" t="n"/>
      <c r="M26" s="9">
        <f>IF(COUNT(F26,J26,L26)=0,"",SUM(F26,J26,L26))</f>
        <v/>
      </c>
      <c r="N26" s="8" t="n"/>
      <c r="O26" s="8" t="n"/>
      <c r="P26" s="8" t="n"/>
      <c r="Q26" s="10">
        <f>IF(N(M26)=0,"",F26/M26)</f>
        <v/>
      </c>
    </row>
    <row r="27">
      <c r="A27" s="6" t="inlineStr">
        <is>
          <t>SE</t>
        </is>
      </c>
      <c r="B27" s="7" t="inlineStr">
        <is>
          <t>Sergipe</t>
        </is>
      </c>
      <c r="C27" s="7" t="inlineStr">
        <is>
          <t>Eleito</t>
        </is>
      </c>
      <c r="D27" s="7" t="inlineStr">
        <is>
          <t>Fábio Mitidieri</t>
        </is>
      </c>
      <c r="E27" s="7" t="inlineStr">
        <is>
          <t>PSD</t>
        </is>
      </c>
      <c r="F27" s="8" t="n"/>
      <c r="G27" s="11" t="n">
        <v>0.5927</v>
      </c>
      <c r="H27" s="7" t="n"/>
      <c r="I27" s="7" t="n"/>
      <c r="J27" s="8" t="n"/>
      <c r="K27" s="11" t="n"/>
      <c r="L27" s="8" t="n"/>
      <c r="M27" s="9">
        <f>IF(COUNT(F27,J27,L27)=0,"",SUM(F27,J27,L27))</f>
        <v/>
      </c>
      <c r="N27" s="8" t="n"/>
      <c r="O27" s="8" t="n"/>
      <c r="P27" s="8" t="n"/>
      <c r="Q27" s="10">
        <f>IF(N(M27)=0,"",F27/M27)</f>
        <v/>
      </c>
    </row>
    <row r="28">
      <c r="A28" s="6" t="inlineStr">
        <is>
          <t>TO</t>
        </is>
      </c>
      <c r="B28" s="7" t="inlineStr">
        <is>
          <t>Tocantins</t>
        </is>
      </c>
      <c r="C28" s="7" t="inlineStr">
        <is>
          <t>2º turno</t>
        </is>
      </c>
      <c r="D28" s="7" t="inlineStr">
        <is>
          <t>Professora Dorinha</t>
        </is>
      </c>
      <c r="E28" s="7" t="inlineStr">
        <is>
          <t>União</t>
        </is>
      </c>
      <c r="F28" s="8" t="n"/>
      <c r="G28" s="11" t="n">
        <v>0.4552</v>
      </c>
      <c r="H28" s="7" t="inlineStr">
        <is>
          <t>Vicentinho Júnior</t>
        </is>
      </c>
      <c r="I28" s="7" t="inlineStr">
        <is>
          <t>PSDB</t>
        </is>
      </c>
      <c r="J28" s="8" t="n"/>
      <c r="K28" s="11" t="n"/>
      <c r="L28" s="8" t="n"/>
      <c r="M28" s="9">
        <f>IF(COUNT(F28,J28,L28)=0,"",SUM(F28,J28,L28))</f>
        <v/>
      </c>
      <c r="N28" s="8" t="n"/>
      <c r="O28" s="8" t="n"/>
      <c r="P28" s="8" t="n"/>
      <c r="Q28" s="10">
        <f>IF(N(M28)=0,"",F28/M28)</f>
        <v/>
      </c>
    </row>
    <row r="29">
      <c r="A29" s="12" t="inlineStr">
        <is>
          <t>Total</t>
        </is>
      </c>
      <c r="F29" s="14">
        <f>SUM(F2:F28)</f>
        <v/>
      </c>
      <c r="J29" s="14">
        <f>SUM(J2:J28)</f>
        <v/>
      </c>
      <c r="L29" s="14">
        <f>SUM(L2:L28)</f>
        <v/>
      </c>
      <c r="M29" s="14">
        <f>SUM(M2:M28)</f>
        <v/>
      </c>
      <c r="N29" s="14">
        <f>SUM(N2:N28)</f>
        <v/>
      </c>
      <c r="O29" s="14">
        <f>SUM(O2:O28)</f>
        <v/>
      </c>
      <c r="P29" s="14">
        <f>SUM(P2:P28)</f>
        <v/>
      </c>
    </row>
    <row r="30">
      <c r="A30" s="16" t="inlineStr">
        <is>
          <t>Fonte: apuração do TSE (100%) divulgada por Metrópoles, Gazeta do Povo, TV Senado, Exame e Agência Brasil, 05/10/2026. Pode diferir em centésimos do TSE.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28" customWidth="1" min="4" max="4"/>
    <col width="13" customWidth="1" min="5" max="5"/>
    <col width="14" customWidth="1" min="6" max="6"/>
    <col width="30" customWidth="1" min="7" max="7"/>
  </cols>
  <sheetData>
    <row r="1" ht="32" customHeight="1">
      <c r="A1" s="5" t="inlineStr">
        <is>
          <t>UF</t>
        </is>
      </c>
      <c r="B1" s="5" t="inlineStr">
        <is>
          <t>Cód. município (TSE)</t>
        </is>
      </c>
      <c r="C1" s="5" t="inlineStr">
        <is>
          <t>Município</t>
        </is>
      </c>
      <c r="D1" s="5" t="inlineStr">
        <is>
          <t>Candidato</t>
        </is>
      </c>
      <c r="E1" s="5" t="inlineStr">
        <is>
          <t>Partido</t>
        </is>
      </c>
      <c r="F1" s="5" t="inlineStr">
        <is>
          <t>Votos</t>
        </is>
      </c>
      <c r="G1" s="5" t="inlineStr">
        <is>
          <t>Observação</t>
        </is>
      </c>
    </row>
    <row r="2">
      <c r="A2" s="17" t="inlineStr">
        <is>
          <t>SP</t>
        </is>
      </c>
      <c r="B2" s="17" t="inlineStr">
        <is>
          <t>71072</t>
        </is>
      </c>
      <c r="C2" s="17" t="inlineStr">
        <is>
          <t>SÃO PAULO</t>
        </is>
      </c>
      <c r="D2" s="17" t="inlineStr">
        <is>
          <t>Nome do candidato</t>
        </is>
      </c>
      <c r="E2" s="17" t="inlineStr">
        <is>
          <t>PARTIDO</t>
        </is>
      </c>
      <c r="F2" s="18" t="n">
        <v>0</v>
      </c>
      <c r="G2" s="16" t="inlineStr">
        <is>
          <t>Linha de exemplo do formato. Apague ao preencher.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28" customWidth="1" min="4" max="4"/>
    <col width="13" customWidth="1" min="5" max="5"/>
    <col width="14" customWidth="1" min="6" max="6"/>
    <col width="30" customWidth="1" min="7" max="7"/>
  </cols>
  <sheetData>
    <row r="1" ht="32" customHeight="1">
      <c r="A1" s="5" t="inlineStr">
        <is>
          <t>UF</t>
        </is>
      </c>
      <c r="B1" s="5" t="inlineStr">
        <is>
          <t>Cód. município (TSE)</t>
        </is>
      </c>
      <c r="C1" s="5" t="inlineStr">
        <is>
          <t>Município</t>
        </is>
      </c>
      <c r="D1" s="5" t="inlineStr">
        <is>
          <t>Candidato</t>
        </is>
      </c>
      <c r="E1" s="5" t="inlineStr">
        <is>
          <t>Partido</t>
        </is>
      </c>
      <c r="F1" s="5" t="inlineStr">
        <is>
          <t>Votos</t>
        </is>
      </c>
      <c r="G1" s="5" t="inlineStr">
        <is>
          <t>Observação</t>
        </is>
      </c>
    </row>
    <row r="2">
      <c r="A2" s="17" t="inlineStr">
        <is>
          <t>SP</t>
        </is>
      </c>
      <c r="B2" s="17" t="inlineStr">
        <is>
          <t>71072</t>
        </is>
      </c>
      <c r="C2" s="17" t="inlineStr">
        <is>
          <t>SÃO PAULO</t>
        </is>
      </c>
      <c r="D2" s="17" t="inlineStr">
        <is>
          <t>Nome do candidato</t>
        </is>
      </c>
      <c r="E2" s="17" t="inlineStr">
        <is>
          <t>PARTIDO</t>
        </is>
      </c>
      <c r="F2" s="18" t="n">
        <v>0</v>
      </c>
      <c r="G2" s="16" t="inlineStr">
        <is>
          <t>Linha de exemplo do formato. Apague ao preencher.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16" customWidth="1" min="4" max="4"/>
    <col width="12" customWidth="1" min="5" max="5"/>
    <col width="14" customWidth="1" min="6" max="6"/>
    <col width="16" customWidth="1" min="7" max="7"/>
    <col width="16" customWidth="1" min="8" max="8"/>
    <col width="12" customWidth="1" min="9" max="9"/>
    <col width="11" customWidth="1" min="10" max="10"/>
    <col width="16" customWidth="1" min="11" max="11"/>
    <col width="16" customWidth="1" min="12" max="12"/>
    <col width="12" customWidth="1" min="13" max="13"/>
    <col width="16" customWidth="1" min="14" max="14"/>
    <col width="12" customWidth="1" min="15" max="15"/>
    <col width="16" customWidth="1" min="16" max="16"/>
    <col width="12" customWidth="1" min="17" max="17"/>
  </cols>
  <sheetData>
    <row r="1">
      <c r="A1" s="19" t="inlineStr">
        <is>
          <t>Presidente x Governador por estado</t>
        </is>
      </c>
    </row>
    <row r="2">
      <c r="A2" s="16" t="inlineStr">
        <is>
          <t>Comparecimento deve ser igual. Brancos, nulos e válidos podem variar entre cargos. A soma dos municípios deve bater com o total do estado.</t>
        </is>
      </c>
    </row>
    <row r="4" ht="32" customHeight="1">
      <c r="A4" s="5" t="inlineStr">
        <is>
          <t>UF</t>
        </is>
      </c>
      <c r="B4" s="5" t="inlineStr">
        <is>
          <t>Estado</t>
        </is>
      </c>
      <c r="C4" s="5" t="inlineStr">
        <is>
          <t>Comparecimento Presidente</t>
        </is>
      </c>
      <c r="D4" s="5" t="inlineStr">
        <is>
          <t>Comparecimento Governador</t>
        </is>
      </c>
      <c r="E4" s="5" t="inlineStr">
        <is>
          <t>Diferença</t>
        </is>
      </c>
      <c r="F4" s="5" t="inlineStr">
        <is>
          <t>Comparecimento bate?</t>
        </is>
      </c>
      <c r="G4" s="5" t="inlineStr">
        <is>
          <t>Válidos Presidente</t>
        </is>
      </c>
      <c r="H4" s="5" t="inlineStr">
        <is>
          <t>Válidos Governador</t>
        </is>
      </c>
      <c r="I4" s="5" t="inlineStr">
        <is>
          <t>Diferença</t>
        </is>
      </c>
      <c r="J4" s="5" t="inlineStr">
        <is>
          <t>Diferença %</t>
        </is>
      </c>
      <c r="K4" s="5" t="inlineStr">
        <is>
          <t>Brancos+Nulos Presidente</t>
        </is>
      </c>
      <c r="L4" s="5" t="inlineStr">
        <is>
          <t>Brancos+Nulos Governador</t>
        </is>
      </c>
      <c r="M4" s="5" t="inlineStr">
        <is>
          <t>Diferença</t>
        </is>
      </c>
      <c r="N4" s="5" t="inlineStr">
        <is>
          <t>Soma municípios Presidente</t>
        </is>
      </c>
      <c r="O4" s="5" t="inlineStr">
        <is>
          <t>Bate com estado?</t>
        </is>
      </c>
      <c r="P4" s="5" t="inlineStr">
        <is>
          <t>Soma municípios Governador</t>
        </is>
      </c>
      <c r="Q4" s="5" t="inlineStr">
        <is>
          <t>Bate com estado?</t>
        </is>
      </c>
    </row>
    <row r="5">
      <c r="A5" s="6" t="inlineStr">
        <is>
          <t>AC</t>
        </is>
      </c>
      <c r="B5" s="7" t="inlineStr">
        <is>
          <t>Acre</t>
        </is>
      </c>
      <c r="C5" s="20">
        <f>IF(Presidente!J2="","",Presidente!J2)</f>
        <v/>
      </c>
      <c r="D5" s="20">
        <f>IF(Governador!P2="","",Governador!P2)</f>
        <v/>
      </c>
      <c r="E5" s="9">
        <f>IF(COUNT(C5:D5)&lt;2,"",D5-C5)</f>
        <v/>
      </c>
      <c r="F5" s="9">
        <f>IF(COUNT(C5:D5)&lt;2,"Sem dados",IF(D5=C5,"OK","Não bate"))</f>
        <v/>
      </c>
      <c r="G5" s="20">
        <f>IF(Presidente!G2="","",Presidente!G2)</f>
        <v/>
      </c>
      <c r="H5" s="20">
        <f>IF(Governador!M2="","",Governador!M2)</f>
        <v/>
      </c>
      <c r="I5" s="9">
        <f>IF(COUNT(G5:H5)&lt;2,"",H5-G5)</f>
        <v/>
      </c>
      <c r="J5" s="10">
        <f>IF(N(G5)=0,"",IF(I5="","",I5/G5))</f>
        <v/>
      </c>
      <c r="K5" s="20">
        <f>IF(COUNT(Presidente!H2:I2)=0,"",SUM(Presidente!H2:I2))</f>
        <v/>
      </c>
      <c r="L5" s="20">
        <f>IF(COUNT(Governador!N2:O2)=0,"",SUM(Governador!N2:O2))</f>
        <v/>
      </c>
      <c r="M5" s="9">
        <f>IF(COUNT(K5:L5)&lt;2,"",L5-K5)</f>
        <v/>
      </c>
      <c r="N5" s="9">
        <f>IF(COUNTIF('Presidente - Municípios'!A:A,A5)=0,"",SUMIFS('Presidente - Municípios'!F:F,'Presidente - Municípios'!A:A,A5))</f>
        <v/>
      </c>
      <c r="O5" s="9">
        <f>IF(COUNT(N5,G5)&lt;2,"Sem dados",IF(N5=G5,"OK","Não bate"))</f>
        <v/>
      </c>
      <c r="P5" s="9">
        <f>IF(COUNTIF('Governador - Municípios'!A:A,A5)=0,"",SUMIFS('Governador - Municípios'!F:F,'Governador - Municípios'!A:A,A5))</f>
        <v/>
      </c>
      <c r="Q5" s="9">
        <f>IF(COUNT(P5,H5)&lt;2,"Sem dados",IF(P5=H5,"OK","Não bate"))</f>
        <v/>
      </c>
    </row>
    <row r="6">
      <c r="A6" s="6" t="inlineStr">
        <is>
          <t>AL</t>
        </is>
      </c>
      <c r="B6" s="7" t="inlineStr">
        <is>
          <t>Alagoas</t>
        </is>
      </c>
      <c r="C6" s="20">
        <f>IF(Presidente!J3="","",Presidente!J3)</f>
        <v/>
      </c>
      <c r="D6" s="20">
        <f>IF(Governador!P3="","",Governador!P3)</f>
        <v/>
      </c>
      <c r="E6" s="9">
        <f>IF(COUNT(C6:D6)&lt;2,"",D6-C6)</f>
        <v/>
      </c>
      <c r="F6" s="9">
        <f>IF(COUNT(C6:D6)&lt;2,"Sem dados",IF(D6=C6,"OK","Não bate"))</f>
        <v/>
      </c>
      <c r="G6" s="20">
        <f>IF(Presidente!G3="","",Presidente!G3)</f>
        <v/>
      </c>
      <c r="H6" s="20">
        <f>IF(Governador!M3="","",Governador!M3)</f>
        <v/>
      </c>
      <c r="I6" s="9">
        <f>IF(COUNT(G6:H6)&lt;2,"",H6-G6)</f>
        <v/>
      </c>
      <c r="J6" s="10">
        <f>IF(N(G6)=0,"",IF(I6="","",I6/G6))</f>
        <v/>
      </c>
      <c r="K6" s="20">
        <f>IF(COUNT(Presidente!H3:I3)=0,"",SUM(Presidente!H3:I3))</f>
        <v/>
      </c>
      <c r="L6" s="20">
        <f>IF(COUNT(Governador!N3:O3)=0,"",SUM(Governador!N3:O3))</f>
        <v/>
      </c>
      <c r="M6" s="9">
        <f>IF(COUNT(K6:L6)&lt;2,"",L6-K6)</f>
        <v/>
      </c>
      <c r="N6" s="9">
        <f>IF(COUNTIF('Presidente - Municípios'!A:A,A6)=0,"",SUMIFS('Presidente - Municípios'!F:F,'Presidente - Municípios'!A:A,A6))</f>
        <v/>
      </c>
      <c r="O6" s="9">
        <f>IF(COUNT(N6,G6)&lt;2,"Sem dados",IF(N6=G6,"OK","Não bate"))</f>
        <v/>
      </c>
      <c r="P6" s="9">
        <f>IF(COUNTIF('Governador - Municípios'!A:A,A6)=0,"",SUMIFS('Governador - Municípios'!F:F,'Governador - Municípios'!A:A,A6))</f>
        <v/>
      </c>
      <c r="Q6" s="9">
        <f>IF(COUNT(P6,H6)&lt;2,"Sem dados",IF(P6=H6,"OK","Não bate"))</f>
        <v/>
      </c>
    </row>
    <row r="7">
      <c r="A7" s="6" t="inlineStr">
        <is>
          <t>AP</t>
        </is>
      </c>
      <c r="B7" s="7" t="inlineStr">
        <is>
          <t>Amapá</t>
        </is>
      </c>
      <c r="C7" s="20">
        <f>IF(Presidente!J4="","",Presidente!J4)</f>
        <v/>
      </c>
      <c r="D7" s="20">
        <f>IF(Governador!P4="","",Governador!P4)</f>
        <v/>
      </c>
      <c r="E7" s="9">
        <f>IF(COUNT(C7:D7)&lt;2,"",D7-C7)</f>
        <v/>
      </c>
      <c r="F7" s="9">
        <f>IF(COUNT(C7:D7)&lt;2,"Sem dados",IF(D7=C7,"OK","Não bate"))</f>
        <v/>
      </c>
      <c r="G7" s="20">
        <f>IF(Presidente!G4="","",Presidente!G4)</f>
        <v/>
      </c>
      <c r="H7" s="20">
        <f>IF(Governador!M4="","",Governador!M4)</f>
        <v/>
      </c>
      <c r="I7" s="9">
        <f>IF(COUNT(G7:H7)&lt;2,"",H7-G7)</f>
        <v/>
      </c>
      <c r="J7" s="10">
        <f>IF(N(G7)=0,"",IF(I7="","",I7/G7))</f>
        <v/>
      </c>
      <c r="K7" s="20">
        <f>IF(COUNT(Presidente!H4:I4)=0,"",SUM(Presidente!H4:I4))</f>
        <v/>
      </c>
      <c r="L7" s="20">
        <f>IF(COUNT(Governador!N4:O4)=0,"",SUM(Governador!N4:O4))</f>
        <v/>
      </c>
      <c r="M7" s="9">
        <f>IF(COUNT(K7:L7)&lt;2,"",L7-K7)</f>
        <v/>
      </c>
      <c r="N7" s="9">
        <f>IF(COUNTIF('Presidente - Municípios'!A:A,A7)=0,"",SUMIFS('Presidente - Municípios'!F:F,'Presidente - Municípios'!A:A,A7))</f>
        <v/>
      </c>
      <c r="O7" s="9">
        <f>IF(COUNT(N7,G7)&lt;2,"Sem dados",IF(N7=G7,"OK","Não bate"))</f>
        <v/>
      </c>
      <c r="P7" s="9">
        <f>IF(COUNTIF('Governador - Municípios'!A:A,A7)=0,"",SUMIFS('Governador - Municípios'!F:F,'Governador - Municípios'!A:A,A7))</f>
        <v/>
      </c>
      <c r="Q7" s="9">
        <f>IF(COUNT(P7,H7)&lt;2,"Sem dados",IF(P7=H7,"OK","Não bate"))</f>
        <v/>
      </c>
    </row>
    <row r="8">
      <c r="A8" s="6" t="inlineStr">
        <is>
          <t>AM</t>
        </is>
      </c>
      <c r="B8" s="7" t="inlineStr">
        <is>
          <t>Amazonas</t>
        </is>
      </c>
      <c r="C8" s="20">
        <f>IF(Presidente!J5="","",Presidente!J5)</f>
        <v/>
      </c>
      <c r="D8" s="20">
        <f>IF(Governador!P5="","",Governador!P5)</f>
        <v/>
      </c>
      <c r="E8" s="9">
        <f>IF(COUNT(C8:D8)&lt;2,"",D8-C8)</f>
        <v/>
      </c>
      <c r="F8" s="9">
        <f>IF(COUNT(C8:D8)&lt;2,"Sem dados",IF(D8=C8,"OK","Não bate"))</f>
        <v/>
      </c>
      <c r="G8" s="20">
        <f>IF(Presidente!G5="","",Presidente!G5)</f>
        <v/>
      </c>
      <c r="H8" s="20">
        <f>IF(Governador!M5="","",Governador!M5)</f>
        <v/>
      </c>
      <c r="I8" s="9">
        <f>IF(COUNT(G8:H8)&lt;2,"",H8-G8)</f>
        <v/>
      </c>
      <c r="J8" s="10">
        <f>IF(N(G8)=0,"",IF(I8="","",I8/G8))</f>
        <v/>
      </c>
      <c r="K8" s="20">
        <f>IF(COUNT(Presidente!H5:I5)=0,"",SUM(Presidente!H5:I5))</f>
        <v/>
      </c>
      <c r="L8" s="20">
        <f>IF(COUNT(Governador!N5:O5)=0,"",SUM(Governador!N5:O5))</f>
        <v/>
      </c>
      <c r="M8" s="9">
        <f>IF(COUNT(K8:L8)&lt;2,"",L8-K8)</f>
        <v/>
      </c>
      <c r="N8" s="9">
        <f>IF(COUNTIF('Presidente - Municípios'!A:A,A8)=0,"",SUMIFS('Presidente - Municípios'!F:F,'Presidente - Municípios'!A:A,A8))</f>
        <v/>
      </c>
      <c r="O8" s="9">
        <f>IF(COUNT(N8,G8)&lt;2,"Sem dados",IF(N8=G8,"OK","Não bate"))</f>
        <v/>
      </c>
      <c r="P8" s="9">
        <f>IF(COUNTIF('Governador - Municípios'!A:A,A8)=0,"",SUMIFS('Governador - Municípios'!F:F,'Governador - Municípios'!A:A,A8))</f>
        <v/>
      </c>
      <c r="Q8" s="9">
        <f>IF(COUNT(P8,H8)&lt;2,"Sem dados",IF(P8=H8,"OK","Não bate"))</f>
        <v/>
      </c>
    </row>
    <row r="9">
      <c r="A9" s="6" t="inlineStr">
        <is>
          <t>BA</t>
        </is>
      </c>
      <c r="B9" s="7" t="inlineStr">
        <is>
          <t>Bahia</t>
        </is>
      </c>
      <c r="C9" s="20">
        <f>IF(Presidente!J6="","",Presidente!J6)</f>
        <v/>
      </c>
      <c r="D9" s="20">
        <f>IF(Governador!P6="","",Governador!P6)</f>
        <v/>
      </c>
      <c r="E9" s="9">
        <f>IF(COUNT(C9:D9)&lt;2,"",D9-C9)</f>
        <v/>
      </c>
      <c r="F9" s="9">
        <f>IF(COUNT(C9:D9)&lt;2,"Sem dados",IF(D9=C9,"OK","Não bate"))</f>
        <v/>
      </c>
      <c r="G9" s="20">
        <f>IF(Presidente!G6="","",Presidente!G6)</f>
        <v/>
      </c>
      <c r="H9" s="20">
        <f>IF(Governador!M6="","",Governador!M6)</f>
        <v/>
      </c>
      <c r="I9" s="9">
        <f>IF(COUNT(G9:H9)&lt;2,"",H9-G9)</f>
        <v/>
      </c>
      <c r="J9" s="10">
        <f>IF(N(G9)=0,"",IF(I9="","",I9/G9))</f>
        <v/>
      </c>
      <c r="K9" s="20">
        <f>IF(COUNT(Presidente!H6:I6)=0,"",SUM(Presidente!H6:I6))</f>
        <v/>
      </c>
      <c r="L9" s="20">
        <f>IF(COUNT(Governador!N6:O6)=0,"",SUM(Governador!N6:O6))</f>
        <v/>
      </c>
      <c r="M9" s="9">
        <f>IF(COUNT(K9:L9)&lt;2,"",L9-K9)</f>
        <v/>
      </c>
      <c r="N9" s="9">
        <f>IF(COUNTIF('Presidente - Municípios'!A:A,A9)=0,"",SUMIFS('Presidente - Municípios'!F:F,'Presidente - Municípios'!A:A,A9))</f>
        <v/>
      </c>
      <c r="O9" s="9">
        <f>IF(COUNT(N9,G9)&lt;2,"Sem dados",IF(N9=G9,"OK","Não bate"))</f>
        <v/>
      </c>
      <c r="P9" s="9">
        <f>IF(COUNTIF('Governador - Municípios'!A:A,A9)=0,"",SUMIFS('Governador - Municípios'!F:F,'Governador - Municípios'!A:A,A9))</f>
        <v/>
      </c>
      <c r="Q9" s="9">
        <f>IF(COUNT(P9,H9)&lt;2,"Sem dados",IF(P9=H9,"OK","Não bate"))</f>
        <v/>
      </c>
    </row>
    <row r="10">
      <c r="A10" s="6" t="inlineStr">
        <is>
          <t>CE</t>
        </is>
      </c>
      <c r="B10" s="7" t="inlineStr">
        <is>
          <t>Ceará</t>
        </is>
      </c>
      <c r="C10" s="20">
        <f>IF(Presidente!J7="","",Presidente!J7)</f>
        <v/>
      </c>
      <c r="D10" s="20">
        <f>IF(Governador!P7="","",Governador!P7)</f>
        <v/>
      </c>
      <c r="E10" s="9">
        <f>IF(COUNT(C10:D10)&lt;2,"",D10-C10)</f>
        <v/>
      </c>
      <c r="F10" s="9">
        <f>IF(COUNT(C10:D10)&lt;2,"Sem dados",IF(D10=C10,"OK","Não bate"))</f>
        <v/>
      </c>
      <c r="G10" s="20">
        <f>IF(Presidente!G7="","",Presidente!G7)</f>
        <v/>
      </c>
      <c r="H10" s="20">
        <f>IF(Governador!M7="","",Governador!M7)</f>
        <v/>
      </c>
      <c r="I10" s="9">
        <f>IF(COUNT(G10:H10)&lt;2,"",H10-G10)</f>
        <v/>
      </c>
      <c r="J10" s="10">
        <f>IF(N(G10)=0,"",IF(I10="","",I10/G10))</f>
        <v/>
      </c>
      <c r="K10" s="20">
        <f>IF(COUNT(Presidente!H7:I7)=0,"",SUM(Presidente!H7:I7))</f>
        <v/>
      </c>
      <c r="L10" s="20">
        <f>IF(COUNT(Governador!N7:O7)=0,"",SUM(Governador!N7:O7))</f>
        <v/>
      </c>
      <c r="M10" s="9">
        <f>IF(COUNT(K10:L10)&lt;2,"",L10-K10)</f>
        <v/>
      </c>
      <c r="N10" s="9">
        <f>IF(COUNTIF('Presidente - Municípios'!A:A,A10)=0,"",SUMIFS('Presidente - Municípios'!F:F,'Presidente - Municípios'!A:A,A10))</f>
        <v/>
      </c>
      <c r="O10" s="9">
        <f>IF(COUNT(N10,G10)&lt;2,"Sem dados",IF(N10=G10,"OK","Não bate"))</f>
        <v/>
      </c>
      <c r="P10" s="9">
        <f>IF(COUNTIF('Governador - Municípios'!A:A,A10)=0,"",SUMIFS('Governador - Municípios'!F:F,'Governador - Municípios'!A:A,A10))</f>
        <v/>
      </c>
      <c r="Q10" s="9">
        <f>IF(COUNT(P10,H10)&lt;2,"Sem dados",IF(P10=H10,"OK","Não bate"))</f>
        <v/>
      </c>
    </row>
    <row r="11">
      <c r="A11" s="6" t="inlineStr">
        <is>
          <t>DF</t>
        </is>
      </c>
      <c r="B11" s="7" t="inlineStr">
        <is>
          <t>Distrito Federal</t>
        </is>
      </c>
      <c r="C11" s="20">
        <f>IF(Presidente!J8="","",Presidente!J8)</f>
        <v/>
      </c>
      <c r="D11" s="20">
        <f>IF(Governador!P8="","",Governador!P8)</f>
        <v/>
      </c>
      <c r="E11" s="9">
        <f>IF(COUNT(C11:D11)&lt;2,"",D11-C11)</f>
        <v/>
      </c>
      <c r="F11" s="9">
        <f>IF(COUNT(C11:D11)&lt;2,"Sem dados",IF(D11=C11,"OK","Não bate"))</f>
        <v/>
      </c>
      <c r="G11" s="20">
        <f>IF(Presidente!G8="","",Presidente!G8)</f>
        <v/>
      </c>
      <c r="H11" s="20">
        <f>IF(Governador!M8="","",Governador!M8)</f>
        <v/>
      </c>
      <c r="I11" s="9">
        <f>IF(COUNT(G11:H11)&lt;2,"",H11-G11)</f>
        <v/>
      </c>
      <c r="J11" s="10">
        <f>IF(N(G11)=0,"",IF(I11="","",I11/G11))</f>
        <v/>
      </c>
      <c r="K11" s="20">
        <f>IF(COUNT(Presidente!H8:I8)=0,"",SUM(Presidente!H8:I8))</f>
        <v/>
      </c>
      <c r="L11" s="20">
        <f>IF(COUNT(Governador!N8:O8)=0,"",SUM(Governador!N8:O8))</f>
        <v/>
      </c>
      <c r="M11" s="9">
        <f>IF(COUNT(K11:L11)&lt;2,"",L11-K11)</f>
        <v/>
      </c>
      <c r="N11" s="9">
        <f>IF(COUNTIF('Presidente - Municípios'!A:A,A11)=0,"",SUMIFS('Presidente - Municípios'!F:F,'Presidente - Municípios'!A:A,A11))</f>
        <v/>
      </c>
      <c r="O11" s="9">
        <f>IF(COUNT(N11,G11)&lt;2,"Sem dados",IF(N11=G11,"OK","Não bate"))</f>
        <v/>
      </c>
      <c r="P11" s="9">
        <f>IF(COUNTIF('Governador - Municípios'!A:A,A11)=0,"",SUMIFS('Governador - Municípios'!F:F,'Governador - Municípios'!A:A,A11))</f>
        <v/>
      </c>
      <c r="Q11" s="9">
        <f>IF(COUNT(P11,H11)&lt;2,"Sem dados",IF(P11=H11,"OK","Não bate"))</f>
        <v/>
      </c>
    </row>
    <row r="12">
      <c r="A12" s="6" t="inlineStr">
        <is>
          <t>ES</t>
        </is>
      </c>
      <c r="B12" s="7" t="inlineStr">
        <is>
          <t>Espírito Santo</t>
        </is>
      </c>
      <c r="C12" s="20">
        <f>IF(Presidente!J9="","",Presidente!J9)</f>
        <v/>
      </c>
      <c r="D12" s="20">
        <f>IF(Governador!P9="","",Governador!P9)</f>
        <v/>
      </c>
      <c r="E12" s="9">
        <f>IF(COUNT(C12:D12)&lt;2,"",D12-C12)</f>
        <v/>
      </c>
      <c r="F12" s="9">
        <f>IF(COUNT(C12:D12)&lt;2,"Sem dados",IF(D12=C12,"OK","Não bate"))</f>
        <v/>
      </c>
      <c r="G12" s="20">
        <f>IF(Presidente!G9="","",Presidente!G9)</f>
        <v/>
      </c>
      <c r="H12" s="20">
        <f>IF(Governador!M9="","",Governador!M9)</f>
        <v/>
      </c>
      <c r="I12" s="9">
        <f>IF(COUNT(G12:H12)&lt;2,"",H12-G12)</f>
        <v/>
      </c>
      <c r="J12" s="10">
        <f>IF(N(G12)=0,"",IF(I12="","",I12/G12))</f>
        <v/>
      </c>
      <c r="K12" s="20">
        <f>IF(COUNT(Presidente!H9:I9)=0,"",SUM(Presidente!H9:I9))</f>
        <v/>
      </c>
      <c r="L12" s="20">
        <f>IF(COUNT(Governador!N9:O9)=0,"",SUM(Governador!N9:O9))</f>
        <v/>
      </c>
      <c r="M12" s="9">
        <f>IF(COUNT(K12:L12)&lt;2,"",L12-K12)</f>
        <v/>
      </c>
      <c r="N12" s="9">
        <f>IF(COUNTIF('Presidente - Municípios'!A:A,A12)=0,"",SUMIFS('Presidente - Municípios'!F:F,'Presidente - Municípios'!A:A,A12))</f>
        <v/>
      </c>
      <c r="O12" s="9">
        <f>IF(COUNT(N12,G12)&lt;2,"Sem dados",IF(N12=G12,"OK","Não bate"))</f>
        <v/>
      </c>
      <c r="P12" s="9">
        <f>IF(COUNTIF('Governador - Municípios'!A:A,A12)=0,"",SUMIFS('Governador - Municípios'!F:F,'Governador - Municípios'!A:A,A12))</f>
        <v/>
      </c>
      <c r="Q12" s="9">
        <f>IF(COUNT(P12,H12)&lt;2,"Sem dados",IF(P12=H12,"OK","Não bate"))</f>
        <v/>
      </c>
    </row>
    <row r="13">
      <c r="A13" s="6" t="inlineStr">
        <is>
          <t>GO</t>
        </is>
      </c>
      <c r="B13" s="7" t="inlineStr">
        <is>
          <t>Goiás</t>
        </is>
      </c>
      <c r="C13" s="20">
        <f>IF(Presidente!J10="","",Presidente!J10)</f>
        <v/>
      </c>
      <c r="D13" s="20">
        <f>IF(Governador!P10="","",Governador!P10)</f>
        <v/>
      </c>
      <c r="E13" s="9">
        <f>IF(COUNT(C13:D13)&lt;2,"",D13-C13)</f>
        <v/>
      </c>
      <c r="F13" s="9">
        <f>IF(COUNT(C13:D13)&lt;2,"Sem dados",IF(D13=C13,"OK","Não bate"))</f>
        <v/>
      </c>
      <c r="G13" s="20">
        <f>IF(Presidente!G10="","",Presidente!G10)</f>
        <v/>
      </c>
      <c r="H13" s="20">
        <f>IF(Governador!M10="","",Governador!M10)</f>
        <v/>
      </c>
      <c r="I13" s="9">
        <f>IF(COUNT(G13:H13)&lt;2,"",H13-G13)</f>
        <v/>
      </c>
      <c r="J13" s="10">
        <f>IF(N(G13)=0,"",IF(I13="","",I13/G13))</f>
        <v/>
      </c>
      <c r="K13" s="20">
        <f>IF(COUNT(Presidente!H10:I10)=0,"",SUM(Presidente!H10:I10))</f>
        <v/>
      </c>
      <c r="L13" s="20">
        <f>IF(COUNT(Governador!N10:O10)=0,"",SUM(Governador!N10:O10))</f>
        <v/>
      </c>
      <c r="M13" s="9">
        <f>IF(COUNT(K13:L13)&lt;2,"",L13-K13)</f>
        <v/>
      </c>
      <c r="N13" s="9">
        <f>IF(COUNTIF('Presidente - Municípios'!A:A,A13)=0,"",SUMIFS('Presidente - Municípios'!F:F,'Presidente - Municípios'!A:A,A13))</f>
        <v/>
      </c>
      <c r="O13" s="9">
        <f>IF(COUNT(N13,G13)&lt;2,"Sem dados",IF(N13=G13,"OK","Não bate"))</f>
        <v/>
      </c>
      <c r="P13" s="9">
        <f>IF(COUNTIF('Governador - Municípios'!A:A,A13)=0,"",SUMIFS('Governador - Municípios'!F:F,'Governador - Municípios'!A:A,A13))</f>
        <v/>
      </c>
      <c r="Q13" s="9">
        <f>IF(COUNT(P13,H13)&lt;2,"Sem dados",IF(P13=H13,"OK","Não bate"))</f>
        <v/>
      </c>
    </row>
    <row r="14">
      <c r="A14" s="6" t="inlineStr">
        <is>
          <t>MA</t>
        </is>
      </c>
      <c r="B14" s="7" t="inlineStr">
        <is>
          <t>Maranhão</t>
        </is>
      </c>
      <c r="C14" s="20">
        <f>IF(Presidente!J11="","",Presidente!J11)</f>
        <v/>
      </c>
      <c r="D14" s="20">
        <f>IF(Governador!P11="","",Governador!P11)</f>
        <v/>
      </c>
      <c r="E14" s="9">
        <f>IF(COUNT(C14:D14)&lt;2,"",D14-C14)</f>
        <v/>
      </c>
      <c r="F14" s="9">
        <f>IF(COUNT(C14:D14)&lt;2,"Sem dados",IF(D14=C14,"OK","Não bate"))</f>
        <v/>
      </c>
      <c r="G14" s="20">
        <f>IF(Presidente!G11="","",Presidente!G11)</f>
        <v/>
      </c>
      <c r="H14" s="20">
        <f>IF(Governador!M11="","",Governador!M11)</f>
        <v/>
      </c>
      <c r="I14" s="9">
        <f>IF(COUNT(G14:H14)&lt;2,"",H14-G14)</f>
        <v/>
      </c>
      <c r="J14" s="10">
        <f>IF(N(G14)=0,"",IF(I14="","",I14/G14))</f>
        <v/>
      </c>
      <c r="K14" s="20">
        <f>IF(COUNT(Presidente!H11:I11)=0,"",SUM(Presidente!H11:I11))</f>
        <v/>
      </c>
      <c r="L14" s="20">
        <f>IF(COUNT(Governador!N11:O11)=0,"",SUM(Governador!N11:O11))</f>
        <v/>
      </c>
      <c r="M14" s="9">
        <f>IF(COUNT(K14:L14)&lt;2,"",L14-K14)</f>
        <v/>
      </c>
      <c r="N14" s="9">
        <f>IF(COUNTIF('Presidente - Municípios'!A:A,A14)=0,"",SUMIFS('Presidente - Municípios'!F:F,'Presidente - Municípios'!A:A,A14))</f>
        <v/>
      </c>
      <c r="O14" s="9">
        <f>IF(COUNT(N14,G14)&lt;2,"Sem dados",IF(N14=G14,"OK","Não bate"))</f>
        <v/>
      </c>
      <c r="P14" s="9">
        <f>IF(COUNTIF('Governador - Municípios'!A:A,A14)=0,"",SUMIFS('Governador - Municípios'!F:F,'Governador - Municípios'!A:A,A14))</f>
        <v/>
      </c>
      <c r="Q14" s="9">
        <f>IF(COUNT(P14,H14)&lt;2,"Sem dados",IF(P14=H14,"OK","Não bate"))</f>
        <v/>
      </c>
    </row>
    <row r="15">
      <c r="A15" s="6" t="inlineStr">
        <is>
          <t>MT</t>
        </is>
      </c>
      <c r="B15" s="7" t="inlineStr">
        <is>
          <t>Mato Grosso</t>
        </is>
      </c>
      <c r="C15" s="20">
        <f>IF(Presidente!J12="","",Presidente!J12)</f>
        <v/>
      </c>
      <c r="D15" s="20">
        <f>IF(Governador!P12="","",Governador!P12)</f>
        <v/>
      </c>
      <c r="E15" s="9">
        <f>IF(COUNT(C15:D15)&lt;2,"",D15-C15)</f>
        <v/>
      </c>
      <c r="F15" s="9">
        <f>IF(COUNT(C15:D15)&lt;2,"Sem dados",IF(D15=C15,"OK","Não bate"))</f>
        <v/>
      </c>
      <c r="G15" s="20">
        <f>IF(Presidente!G12="","",Presidente!G12)</f>
        <v/>
      </c>
      <c r="H15" s="20">
        <f>IF(Governador!M12="","",Governador!M12)</f>
        <v/>
      </c>
      <c r="I15" s="9">
        <f>IF(COUNT(G15:H15)&lt;2,"",H15-G15)</f>
        <v/>
      </c>
      <c r="J15" s="10">
        <f>IF(N(G15)=0,"",IF(I15="","",I15/G15))</f>
        <v/>
      </c>
      <c r="K15" s="20">
        <f>IF(COUNT(Presidente!H12:I12)=0,"",SUM(Presidente!H12:I12))</f>
        <v/>
      </c>
      <c r="L15" s="20">
        <f>IF(COUNT(Governador!N12:O12)=0,"",SUM(Governador!N12:O12))</f>
        <v/>
      </c>
      <c r="M15" s="9">
        <f>IF(COUNT(K15:L15)&lt;2,"",L15-K15)</f>
        <v/>
      </c>
      <c r="N15" s="9">
        <f>IF(COUNTIF('Presidente - Municípios'!A:A,A15)=0,"",SUMIFS('Presidente - Municípios'!F:F,'Presidente - Municípios'!A:A,A15))</f>
        <v/>
      </c>
      <c r="O15" s="9">
        <f>IF(COUNT(N15,G15)&lt;2,"Sem dados",IF(N15=G15,"OK","Não bate"))</f>
        <v/>
      </c>
      <c r="P15" s="9">
        <f>IF(COUNTIF('Governador - Municípios'!A:A,A15)=0,"",SUMIFS('Governador - Municípios'!F:F,'Governador - Municípios'!A:A,A15))</f>
        <v/>
      </c>
      <c r="Q15" s="9">
        <f>IF(COUNT(P15,H15)&lt;2,"Sem dados",IF(P15=H15,"OK","Não bate"))</f>
        <v/>
      </c>
    </row>
    <row r="16">
      <c r="A16" s="6" t="inlineStr">
        <is>
          <t>MS</t>
        </is>
      </c>
      <c r="B16" s="7" t="inlineStr">
        <is>
          <t>Mato Grosso do Sul</t>
        </is>
      </c>
      <c r="C16" s="20">
        <f>IF(Presidente!J13="","",Presidente!J13)</f>
        <v/>
      </c>
      <c r="D16" s="20">
        <f>IF(Governador!P13="","",Governador!P13)</f>
        <v/>
      </c>
      <c r="E16" s="9">
        <f>IF(COUNT(C16:D16)&lt;2,"",D16-C16)</f>
        <v/>
      </c>
      <c r="F16" s="9">
        <f>IF(COUNT(C16:D16)&lt;2,"Sem dados",IF(D16=C16,"OK","Não bate"))</f>
        <v/>
      </c>
      <c r="G16" s="20">
        <f>IF(Presidente!G13="","",Presidente!G13)</f>
        <v/>
      </c>
      <c r="H16" s="20">
        <f>IF(Governador!M13="","",Governador!M13)</f>
        <v/>
      </c>
      <c r="I16" s="9">
        <f>IF(COUNT(G16:H16)&lt;2,"",H16-G16)</f>
        <v/>
      </c>
      <c r="J16" s="10">
        <f>IF(N(G16)=0,"",IF(I16="","",I16/G16))</f>
        <v/>
      </c>
      <c r="K16" s="20">
        <f>IF(COUNT(Presidente!H13:I13)=0,"",SUM(Presidente!H13:I13))</f>
        <v/>
      </c>
      <c r="L16" s="20">
        <f>IF(COUNT(Governador!N13:O13)=0,"",SUM(Governador!N13:O13))</f>
        <v/>
      </c>
      <c r="M16" s="9">
        <f>IF(COUNT(K16:L16)&lt;2,"",L16-K16)</f>
        <v/>
      </c>
      <c r="N16" s="9">
        <f>IF(COUNTIF('Presidente - Municípios'!A:A,A16)=0,"",SUMIFS('Presidente - Municípios'!F:F,'Presidente - Municípios'!A:A,A16))</f>
        <v/>
      </c>
      <c r="O16" s="9">
        <f>IF(COUNT(N16,G16)&lt;2,"Sem dados",IF(N16=G16,"OK","Não bate"))</f>
        <v/>
      </c>
      <c r="P16" s="9">
        <f>IF(COUNTIF('Governador - Municípios'!A:A,A16)=0,"",SUMIFS('Governador - Municípios'!F:F,'Governador - Municípios'!A:A,A16))</f>
        <v/>
      </c>
      <c r="Q16" s="9">
        <f>IF(COUNT(P16,H16)&lt;2,"Sem dados",IF(P16=H16,"OK","Não bate"))</f>
        <v/>
      </c>
    </row>
    <row r="17">
      <c r="A17" s="6" t="inlineStr">
        <is>
          <t>MG</t>
        </is>
      </c>
      <c r="B17" s="7" t="inlineStr">
        <is>
          <t>Minas Gerais</t>
        </is>
      </c>
      <c r="C17" s="20">
        <f>IF(Presidente!J14="","",Presidente!J14)</f>
        <v/>
      </c>
      <c r="D17" s="20">
        <f>IF(Governador!P14="","",Governador!P14)</f>
        <v/>
      </c>
      <c r="E17" s="9">
        <f>IF(COUNT(C17:D17)&lt;2,"",D17-C17)</f>
        <v/>
      </c>
      <c r="F17" s="9">
        <f>IF(COUNT(C17:D17)&lt;2,"Sem dados",IF(D17=C17,"OK","Não bate"))</f>
        <v/>
      </c>
      <c r="G17" s="20">
        <f>IF(Presidente!G14="","",Presidente!G14)</f>
        <v/>
      </c>
      <c r="H17" s="20">
        <f>IF(Governador!M14="","",Governador!M14)</f>
        <v/>
      </c>
      <c r="I17" s="9">
        <f>IF(COUNT(G17:H17)&lt;2,"",H17-G17)</f>
        <v/>
      </c>
      <c r="J17" s="10">
        <f>IF(N(G17)=0,"",IF(I17="","",I17/G17))</f>
        <v/>
      </c>
      <c r="K17" s="20">
        <f>IF(COUNT(Presidente!H14:I14)=0,"",SUM(Presidente!H14:I14))</f>
        <v/>
      </c>
      <c r="L17" s="20">
        <f>IF(COUNT(Governador!N14:O14)=0,"",SUM(Governador!N14:O14))</f>
        <v/>
      </c>
      <c r="M17" s="9">
        <f>IF(COUNT(K17:L17)&lt;2,"",L17-K17)</f>
        <v/>
      </c>
      <c r="N17" s="9">
        <f>IF(COUNTIF('Presidente - Municípios'!A:A,A17)=0,"",SUMIFS('Presidente - Municípios'!F:F,'Presidente - Municípios'!A:A,A17))</f>
        <v/>
      </c>
      <c r="O17" s="9">
        <f>IF(COUNT(N17,G17)&lt;2,"Sem dados",IF(N17=G17,"OK","Não bate"))</f>
        <v/>
      </c>
      <c r="P17" s="9">
        <f>IF(COUNTIF('Governador - Municípios'!A:A,A17)=0,"",SUMIFS('Governador - Municípios'!F:F,'Governador - Municípios'!A:A,A17))</f>
        <v/>
      </c>
      <c r="Q17" s="9">
        <f>IF(COUNT(P17,H17)&lt;2,"Sem dados",IF(P17=H17,"OK","Não bate"))</f>
        <v/>
      </c>
    </row>
    <row r="18">
      <c r="A18" s="6" t="inlineStr">
        <is>
          <t>PA</t>
        </is>
      </c>
      <c r="B18" s="7" t="inlineStr">
        <is>
          <t>Pará</t>
        </is>
      </c>
      <c r="C18" s="20">
        <f>IF(Presidente!J15="","",Presidente!J15)</f>
        <v/>
      </c>
      <c r="D18" s="20">
        <f>IF(Governador!P15="","",Governador!P15)</f>
        <v/>
      </c>
      <c r="E18" s="9">
        <f>IF(COUNT(C18:D18)&lt;2,"",D18-C18)</f>
        <v/>
      </c>
      <c r="F18" s="9">
        <f>IF(COUNT(C18:D18)&lt;2,"Sem dados",IF(D18=C18,"OK","Não bate"))</f>
        <v/>
      </c>
      <c r="G18" s="20">
        <f>IF(Presidente!G15="","",Presidente!G15)</f>
        <v/>
      </c>
      <c r="H18" s="20">
        <f>IF(Governador!M15="","",Governador!M15)</f>
        <v/>
      </c>
      <c r="I18" s="9">
        <f>IF(COUNT(G18:H18)&lt;2,"",H18-G18)</f>
        <v/>
      </c>
      <c r="J18" s="10">
        <f>IF(N(G18)=0,"",IF(I18="","",I18/G18))</f>
        <v/>
      </c>
      <c r="K18" s="20">
        <f>IF(COUNT(Presidente!H15:I15)=0,"",SUM(Presidente!H15:I15))</f>
        <v/>
      </c>
      <c r="L18" s="20">
        <f>IF(COUNT(Governador!N15:O15)=0,"",SUM(Governador!N15:O15))</f>
        <v/>
      </c>
      <c r="M18" s="9">
        <f>IF(COUNT(K18:L18)&lt;2,"",L18-K18)</f>
        <v/>
      </c>
      <c r="N18" s="9">
        <f>IF(COUNTIF('Presidente - Municípios'!A:A,A18)=0,"",SUMIFS('Presidente - Municípios'!F:F,'Presidente - Municípios'!A:A,A18))</f>
        <v/>
      </c>
      <c r="O18" s="9">
        <f>IF(COUNT(N18,G18)&lt;2,"Sem dados",IF(N18=G18,"OK","Não bate"))</f>
        <v/>
      </c>
      <c r="P18" s="9">
        <f>IF(COUNTIF('Governador - Municípios'!A:A,A18)=0,"",SUMIFS('Governador - Municípios'!F:F,'Governador - Municípios'!A:A,A18))</f>
        <v/>
      </c>
      <c r="Q18" s="9">
        <f>IF(COUNT(P18,H18)&lt;2,"Sem dados",IF(P18=H18,"OK","Não bate"))</f>
        <v/>
      </c>
    </row>
    <row r="19">
      <c r="A19" s="6" t="inlineStr">
        <is>
          <t>PB</t>
        </is>
      </c>
      <c r="B19" s="7" t="inlineStr">
        <is>
          <t>Paraíba</t>
        </is>
      </c>
      <c r="C19" s="20">
        <f>IF(Presidente!J16="","",Presidente!J16)</f>
        <v/>
      </c>
      <c r="D19" s="20">
        <f>IF(Governador!P16="","",Governador!P16)</f>
        <v/>
      </c>
      <c r="E19" s="9">
        <f>IF(COUNT(C19:D19)&lt;2,"",D19-C19)</f>
        <v/>
      </c>
      <c r="F19" s="9">
        <f>IF(COUNT(C19:D19)&lt;2,"Sem dados",IF(D19=C19,"OK","Não bate"))</f>
        <v/>
      </c>
      <c r="G19" s="20">
        <f>IF(Presidente!G16="","",Presidente!G16)</f>
        <v/>
      </c>
      <c r="H19" s="20">
        <f>IF(Governador!M16="","",Governador!M16)</f>
        <v/>
      </c>
      <c r="I19" s="9">
        <f>IF(COUNT(G19:H19)&lt;2,"",H19-G19)</f>
        <v/>
      </c>
      <c r="J19" s="10">
        <f>IF(N(G19)=0,"",IF(I19="","",I19/G19))</f>
        <v/>
      </c>
      <c r="K19" s="20">
        <f>IF(COUNT(Presidente!H16:I16)=0,"",SUM(Presidente!H16:I16))</f>
        <v/>
      </c>
      <c r="L19" s="20">
        <f>IF(COUNT(Governador!N16:O16)=0,"",SUM(Governador!N16:O16))</f>
        <v/>
      </c>
      <c r="M19" s="9">
        <f>IF(COUNT(K19:L19)&lt;2,"",L19-K19)</f>
        <v/>
      </c>
      <c r="N19" s="9">
        <f>IF(COUNTIF('Presidente - Municípios'!A:A,A19)=0,"",SUMIFS('Presidente - Municípios'!F:F,'Presidente - Municípios'!A:A,A19))</f>
        <v/>
      </c>
      <c r="O19" s="9">
        <f>IF(COUNT(N19,G19)&lt;2,"Sem dados",IF(N19=G19,"OK","Não bate"))</f>
        <v/>
      </c>
      <c r="P19" s="9">
        <f>IF(COUNTIF('Governador - Municípios'!A:A,A19)=0,"",SUMIFS('Governador - Municípios'!F:F,'Governador - Municípios'!A:A,A19))</f>
        <v/>
      </c>
      <c r="Q19" s="9">
        <f>IF(COUNT(P19,H19)&lt;2,"Sem dados",IF(P19=H19,"OK","Não bate"))</f>
        <v/>
      </c>
    </row>
    <row r="20">
      <c r="A20" s="6" t="inlineStr">
        <is>
          <t>PR</t>
        </is>
      </c>
      <c r="B20" s="7" t="inlineStr">
        <is>
          <t>Paraná</t>
        </is>
      </c>
      <c r="C20" s="20">
        <f>IF(Presidente!J17="","",Presidente!J17)</f>
        <v/>
      </c>
      <c r="D20" s="20">
        <f>IF(Governador!P17="","",Governador!P17)</f>
        <v/>
      </c>
      <c r="E20" s="9">
        <f>IF(COUNT(C20:D20)&lt;2,"",D20-C20)</f>
        <v/>
      </c>
      <c r="F20" s="9">
        <f>IF(COUNT(C20:D20)&lt;2,"Sem dados",IF(D20=C20,"OK","Não bate"))</f>
        <v/>
      </c>
      <c r="G20" s="20">
        <f>IF(Presidente!G17="","",Presidente!G17)</f>
        <v/>
      </c>
      <c r="H20" s="20">
        <f>IF(Governador!M17="","",Governador!M17)</f>
        <v/>
      </c>
      <c r="I20" s="9">
        <f>IF(COUNT(G20:H20)&lt;2,"",H20-G20)</f>
        <v/>
      </c>
      <c r="J20" s="10">
        <f>IF(N(G20)=0,"",IF(I20="","",I20/G20))</f>
        <v/>
      </c>
      <c r="K20" s="20">
        <f>IF(COUNT(Presidente!H17:I17)=0,"",SUM(Presidente!H17:I17))</f>
        <v/>
      </c>
      <c r="L20" s="20">
        <f>IF(COUNT(Governador!N17:O17)=0,"",SUM(Governador!N17:O17))</f>
        <v/>
      </c>
      <c r="M20" s="9">
        <f>IF(COUNT(K20:L20)&lt;2,"",L20-K20)</f>
        <v/>
      </c>
      <c r="N20" s="9">
        <f>IF(COUNTIF('Presidente - Municípios'!A:A,A20)=0,"",SUMIFS('Presidente - Municípios'!F:F,'Presidente - Municípios'!A:A,A20))</f>
        <v/>
      </c>
      <c r="O20" s="9">
        <f>IF(COUNT(N20,G20)&lt;2,"Sem dados",IF(N20=G20,"OK","Não bate"))</f>
        <v/>
      </c>
      <c r="P20" s="9">
        <f>IF(COUNTIF('Governador - Municípios'!A:A,A20)=0,"",SUMIFS('Governador - Municípios'!F:F,'Governador - Municípios'!A:A,A20))</f>
        <v/>
      </c>
      <c r="Q20" s="9">
        <f>IF(COUNT(P20,H20)&lt;2,"Sem dados",IF(P20=H20,"OK","Não bate"))</f>
        <v/>
      </c>
    </row>
    <row r="21">
      <c r="A21" s="6" t="inlineStr">
        <is>
          <t>PE</t>
        </is>
      </c>
      <c r="B21" s="7" t="inlineStr">
        <is>
          <t>Pernambuco</t>
        </is>
      </c>
      <c r="C21" s="20">
        <f>IF(Presidente!J18="","",Presidente!J18)</f>
        <v/>
      </c>
      <c r="D21" s="20">
        <f>IF(Governador!P18="","",Governador!P18)</f>
        <v/>
      </c>
      <c r="E21" s="9">
        <f>IF(COUNT(C21:D21)&lt;2,"",D21-C21)</f>
        <v/>
      </c>
      <c r="F21" s="9">
        <f>IF(COUNT(C21:D21)&lt;2,"Sem dados",IF(D21=C21,"OK","Não bate"))</f>
        <v/>
      </c>
      <c r="G21" s="20">
        <f>IF(Presidente!G18="","",Presidente!G18)</f>
        <v/>
      </c>
      <c r="H21" s="20">
        <f>IF(Governador!M18="","",Governador!M18)</f>
        <v/>
      </c>
      <c r="I21" s="9">
        <f>IF(COUNT(G21:H21)&lt;2,"",H21-G21)</f>
        <v/>
      </c>
      <c r="J21" s="10">
        <f>IF(N(G21)=0,"",IF(I21="","",I21/G21))</f>
        <v/>
      </c>
      <c r="K21" s="20">
        <f>IF(COUNT(Presidente!H18:I18)=0,"",SUM(Presidente!H18:I18))</f>
        <v/>
      </c>
      <c r="L21" s="20">
        <f>IF(COUNT(Governador!N18:O18)=0,"",SUM(Governador!N18:O18))</f>
        <v/>
      </c>
      <c r="M21" s="9">
        <f>IF(COUNT(K21:L21)&lt;2,"",L21-K21)</f>
        <v/>
      </c>
      <c r="N21" s="9">
        <f>IF(COUNTIF('Presidente - Municípios'!A:A,A21)=0,"",SUMIFS('Presidente - Municípios'!F:F,'Presidente - Municípios'!A:A,A21))</f>
        <v/>
      </c>
      <c r="O21" s="9">
        <f>IF(COUNT(N21,G21)&lt;2,"Sem dados",IF(N21=G21,"OK","Não bate"))</f>
        <v/>
      </c>
      <c r="P21" s="9">
        <f>IF(COUNTIF('Governador - Municípios'!A:A,A21)=0,"",SUMIFS('Governador - Municípios'!F:F,'Governador - Municípios'!A:A,A21))</f>
        <v/>
      </c>
      <c r="Q21" s="9">
        <f>IF(COUNT(P21,H21)&lt;2,"Sem dados",IF(P21=H21,"OK","Não bate"))</f>
        <v/>
      </c>
    </row>
    <row r="22">
      <c r="A22" s="6" t="inlineStr">
        <is>
          <t>PI</t>
        </is>
      </c>
      <c r="B22" s="7" t="inlineStr">
        <is>
          <t>Piauí</t>
        </is>
      </c>
      <c r="C22" s="20">
        <f>IF(Presidente!J19="","",Presidente!J19)</f>
        <v/>
      </c>
      <c r="D22" s="20">
        <f>IF(Governador!P19="","",Governador!P19)</f>
        <v/>
      </c>
      <c r="E22" s="9">
        <f>IF(COUNT(C22:D22)&lt;2,"",D22-C22)</f>
        <v/>
      </c>
      <c r="F22" s="9">
        <f>IF(COUNT(C22:D22)&lt;2,"Sem dados",IF(D22=C22,"OK","Não bate"))</f>
        <v/>
      </c>
      <c r="G22" s="20">
        <f>IF(Presidente!G19="","",Presidente!G19)</f>
        <v/>
      </c>
      <c r="H22" s="20">
        <f>IF(Governador!M19="","",Governador!M19)</f>
        <v/>
      </c>
      <c r="I22" s="9">
        <f>IF(COUNT(G22:H22)&lt;2,"",H22-G22)</f>
        <v/>
      </c>
      <c r="J22" s="10">
        <f>IF(N(G22)=0,"",IF(I22="","",I22/G22))</f>
        <v/>
      </c>
      <c r="K22" s="20">
        <f>IF(COUNT(Presidente!H19:I19)=0,"",SUM(Presidente!H19:I19))</f>
        <v/>
      </c>
      <c r="L22" s="20">
        <f>IF(COUNT(Governador!N19:O19)=0,"",SUM(Governador!N19:O19))</f>
        <v/>
      </c>
      <c r="M22" s="9">
        <f>IF(COUNT(K22:L22)&lt;2,"",L22-K22)</f>
        <v/>
      </c>
      <c r="N22" s="9">
        <f>IF(COUNTIF('Presidente - Municípios'!A:A,A22)=0,"",SUMIFS('Presidente - Municípios'!F:F,'Presidente - Municípios'!A:A,A22))</f>
        <v/>
      </c>
      <c r="O22" s="9">
        <f>IF(COUNT(N22,G22)&lt;2,"Sem dados",IF(N22=G22,"OK","Não bate"))</f>
        <v/>
      </c>
      <c r="P22" s="9">
        <f>IF(COUNTIF('Governador - Municípios'!A:A,A22)=0,"",SUMIFS('Governador - Municípios'!F:F,'Governador - Municípios'!A:A,A22))</f>
        <v/>
      </c>
      <c r="Q22" s="9">
        <f>IF(COUNT(P22,H22)&lt;2,"Sem dados",IF(P22=H22,"OK","Não bate"))</f>
        <v/>
      </c>
    </row>
    <row r="23">
      <c r="A23" s="6" t="inlineStr">
        <is>
          <t>RJ</t>
        </is>
      </c>
      <c r="B23" s="7" t="inlineStr">
        <is>
          <t>Rio de Janeiro</t>
        </is>
      </c>
      <c r="C23" s="20">
        <f>IF(Presidente!J20="","",Presidente!J20)</f>
        <v/>
      </c>
      <c r="D23" s="20">
        <f>IF(Governador!P20="","",Governador!P20)</f>
        <v/>
      </c>
      <c r="E23" s="9">
        <f>IF(COUNT(C23:D23)&lt;2,"",D23-C23)</f>
        <v/>
      </c>
      <c r="F23" s="9">
        <f>IF(COUNT(C23:D23)&lt;2,"Sem dados",IF(D23=C23,"OK","Não bate"))</f>
        <v/>
      </c>
      <c r="G23" s="20">
        <f>IF(Presidente!G20="","",Presidente!G20)</f>
        <v/>
      </c>
      <c r="H23" s="20">
        <f>IF(Governador!M20="","",Governador!M20)</f>
        <v/>
      </c>
      <c r="I23" s="9">
        <f>IF(COUNT(G23:H23)&lt;2,"",H23-G23)</f>
        <v/>
      </c>
      <c r="J23" s="10">
        <f>IF(N(G23)=0,"",IF(I23="","",I23/G23))</f>
        <v/>
      </c>
      <c r="K23" s="20">
        <f>IF(COUNT(Presidente!H20:I20)=0,"",SUM(Presidente!H20:I20))</f>
        <v/>
      </c>
      <c r="L23" s="20">
        <f>IF(COUNT(Governador!N20:O20)=0,"",SUM(Governador!N20:O20))</f>
        <v/>
      </c>
      <c r="M23" s="9">
        <f>IF(COUNT(K23:L23)&lt;2,"",L23-K23)</f>
        <v/>
      </c>
      <c r="N23" s="9">
        <f>IF(COUNTIF('Presidente - Municípios'!A:A,A23)=0,"",SUMIFS('Presidente - Municípios'!F:F,'Presidente - Municípios'!A:A,A23))</f>
        <v/>
      </c>
      <c r="O23" s="9">
        <f>IF(COUNT(N23,G23)&lt;2,"Sem dados",IF(N23=G23,"OK","Não bate"))</f>
        <v/>
      </c>
      <c r="P23" s="9">
        <f>IF(COUNTIF('Governador - Municípios'!A:A,A23)=0,"",SUMIFS('Governador - Municípios'!F:F,'Governador - Municípios'!A:A,A23))</f>
        <v/>
      </c>
      <c r="Q23" s="9">
        <f>IF(COUNT(P23,H23)&lt;2,"Sem dados",IF(P23=H23,"OK","Não bate"))</f>
        <v/>
      </c>
    </row>
    <row r="24">
      <c r="A24" s="6" t="inlineStr">
        <is>
          <t>RN</t>
        </is>
      </c>
      <c r="B24" s="7" t="inlineStr">
        <is>
          <t>Rio Grande do Norte</t>
        </is>
      </c>
      <c r="C24" s="20">
        <f>IF(Presidente!J21="","",Presidente!J21)</f>
        <v/>
      </c>
      <c r="D24" s="20">
        <f>IF(Governador!P21="","",Governador!P21)</f>
        <v/>
      </c>
      <c r="E24" s="9">
        <f>IF(COUNT(C24:D24)&lt;2,"",D24-C24)</f>
        <v/>
      </c>
      <c r="F24" s="9">
        <f>IF(COUNT(C24:D24)&lt;2,"Sem dados",IF(D24=C24,"OK","Não bate"))</f>
        <v/>
      </c>
      <c r="G24" s="20">
        <f>IF(Presidente!G21="","",Presidente!G21)</f>
        <v/>
      </c>
      <c r="H24" s="20">
        <f>IF(Governador!M21="","",Governador!M21)</f>
        <v/>
      </c>
      <c r="I24" s="9">
        <f>IF(COUNT(G24:H24)&lt;2,"",H24-G24)</f>
        <v/>
      </c>
      <c r="J24" s="10">
        <f>IF(N(G24)=0,"",IF(I24="","",I24/G24))</f>
        <v/>
      </c>
      <c r="K24" s="20">
        <f>IF(COUNT(Presidente!H21:I21)=0,"",SUM(Presidente!H21:I21))</f>
        <v/>
      </c>
      <c r="L24" s="20">
        <f>IF(COUNT(Governador!N21:O21)=0,"",SUM(Governador!N21:O21))</f>
        <v/>
      </c>
      <c r="M24" s="9">
        <f>IF(COUNT(K24:L24)&lt;2,"",L24-K24)</f>
        <v/>
      </c>
      <c r="N24" s="9">
        <f>IF(COUNTIF('Presidente - Municípios'!A:A,A24)=0,"",SUMIFS('Presidente - Municípios'!F:F,'Presidente - Municípios'!A:A,A24))</f>
        <v/>
      </c>
      <c r="O24" s="9">
        <f>IF(COUNT(N24,G24)&lt;2,"Sem dados",IF(N24=G24,"OK","Não bate"))</f>
        <v/>
      </c>
      <c r="P24" s="9">
        <f>IF(COUNTIF('Governador - Municípios'!A:A,A24)=0,"",SUMIFS('Governador - Municípios'!F:F,'Governador - Municípios'!A:A,A24))</f>
        <v/>
      </c>
      <c r="Q24" s="9">
        <f>IF(COUNT(P24,H24)&lt;2,"Sem dados",IF(P24=H24,"OK","Não bate"))</f>
        <v/>
      </c>
    </row>
    <row r="25">
      <c r="A25" s="6" t="inlineStr">
        <is>
          <t>RS</t>
        </is>
      </c>
      <c r="B25" s="7" t="inlineStr">
        <is>
          <t>Rio Grande do Sul</t>
        </is>
      </c>
      <c r="C25" s="20">
        <f>IF(Presidente!J22="","",Presidente!J22)</f>
        <v/>
      </c>
      <c r="D25" s="20">
        <f>IF(Governador!P22="","",Governador!P22)</f>
        <v/>
      </c>
      <c r="E25" s="9">
        <f>IF(COUNT(C25:D25)&lt;2,"",D25-C25)</f>
        <v/>
      </c>
      <c r="F25" s="9">
        <f>IF(COUNT(C25:D25)&lt;2,"Sem dados",IF(D25=C25,"OK","Não bate"))</f>
        <v/>
      </c>
      <c r="G25" s="20">
        <f>IF(Presidente!G22="","",Presidente!G22)</f>
        <v/>
      </c>
      <c r="H25" s="20">
        <f>IF(Governador!M22="","",Governador!M22)</f>
        <v/>
      </c>
      <c r="I25" s="9">
        <f>IF(COUNT(G25:H25)&lt;2,"",H25-G25)</f>
        <v/>
      </c>
      <c r="J25" s="10">
        <f>IF(N(G25)=0,"",IF(I25="","",I25/G25))</f>
        <v/>
      </c>
      <c r="K25" s="20">
        <f>IF(COUNT(Presidente!H22:I22)=0,"",SUM(Presidente!H22:I22))</f>
        <v/>
      </c>
      <c r="L25" s="20">
        <f>IF(COUNT(Governador!N22:O22)=0,"",SUM(Governador!N22:O22))</f>
        <v/>
      </c>
      <c r="M25" s="9">
        <f>IF(COUNT(K25:L25)&lt;2,"",L25-K25)</f>
        <v/>
      </c>
      <c r="N25" s="9">
        <f>IF(COUNTIF('Presidente - Municípios'!A:A,A25)=0,"",SUMIFS('Presidente - Municípios'!F:F,'Presidente - Municípios'!A:A,A25))</f>
        <v/>
      </c>
      <c r="O25" s="9">
        <f>IF(COUNT(N25,G25)&lt;2,"Sem dados",IF(N25=G25,"OK","Não bate"))</f>
        <v/>
      </c>
      <c r="P25" s="9">
        <f>IF(COUNTIF('Governador - Municípios'!A:A,A25)=0,"",SUMIFS('Governador - Municípios'!F:F,'Governador - Municípios'!A:A,A25))</f>
        <v/>
      </c>
      <c r="Q25" s="9">
        <f>IF(COUNT(P25,H25)&lt;2,"Sem dados",IF(P25=H25,"OK","Não bate"))</f>
        <v/>
      </c>
    </row>
    <row r="26">
      <c r="A26" s="6" t="inlineStr">
        <is>
          <t>RO</t>
        </is>
      </c>
      <c r="B26" s="7" t="inlineStr">
        <is>
          <t>Rondônia</t>
        </is>
      </c>
      <c r="C26" s="20">
        <f>IF(Presidente!J23="","",Presidente!J23)</f>
        <v/>
      </c>
      <c r="D26" s="20">
        <f>IF(Governador!P23="","",Governador!P23)</f>
        <v/>
      </c>
      <c r="E26" s="9">
        <f>IF(COUNT(C26:D26)&lt;2,"",D26-C26)</f>
        <v/>
      </c>
      <c r="F26" s="9">
        <f>IF(COUNT(C26:D26)&lt;2,"Sem dados",IF(D26=C26,"OK","Não bate"))</f>
        <v/>
      </c>
      <c r="G26" s="20">
        <f>IF(Presidente!G23="","",Presidente!G23)</f>
        <v/>
      </c>
      <c r="H26" s="20">
        <f>IF(Governador!M23="","",Governador!M23)</f>
        <v/>
      </c>
      <c r="I26" s="9">
        <f>IF(COUNT(G26:H26)&lt;2,"",H26-G26)</f>
        <v/>
      </c>
      <c r="J26" s="10">
        <f>IF(N(G26)=0,"",IF(I26="","",I26/G26))</f>
        <v/>
      </c>
      <c r="K26" s="20">
        <f>IF(COUNT(Presidente!H23:I23)=0,"",SUM(Presidente!H23:I23))</f>
        <v/>
      </c>
      <c r="L26" s="20">
        <f>IF(COUNT(Governador!N23:O23)=0,"",SUM(Governador!N23:O23))</f>
        <v/>
      </c>
      <c r="M26" s="9">
        <f>IF(COUNT(K26:L26)&lt;2,"",L26-K26)</f>
        <v/>
      </c>
      <c r="N26" s="9">
        <f>IF(COUNTIF('Presidente - Municípios'!A:A,A26)=0,"",SUMIFS('Presidente - Municípios'!F:F,'Presidente - Municípios'!A:A,A26))</f>
        <v/>
      </c>
      <c r="O26" s="9">
        <f>IF(COUNT(N26,G26)&lt;2,"Sem dados",IF(N26=G26,"OK","Não bate"))</f>
        <v/>
      </c>
      <c r="P26" s="9">
        <f>IF(COUNTIF('Governador - Municípios'!A:A,A26)=0,"",SUMIFS('Governador - Municípios'!F:F,'Governador - Municípios'!A:A,A26))</f>
        <v/>
      </c>
      <c r="Q26" s="9">
        <f>IF(COUNT(P26,H26)&lt;2,"Sem dados",IF(P26=H26,"OK","Não bate"))</f>
        <v/>
      </c>
    </row>
    <row r="27">
      <c r="A27" s="6" t="inlineStr">
        <is>
          <t>RR</t>
        </is>
      </c>
      <c r="B27" s="7" t="inlineStr">
        <is>
          <t>Roraima</t>
        </is>
      </c>
      <c r="C27" s="20">
        <f>IF(Presidente!J24="","",Presidente!J24)</f>
        <v/>
      </c>
      <c r="D27" s="20">
        <f>IF(Governador!P24="","",Governador!P24)</f>
        <v/>
      </c>
      <c r="E27" s="9">
        <f>IF(COUNT(C27:D27)&lt;2,"",D27-C27)</f>
        <v/>
      </c>
      <c r="F27" s="9">
        <f>IF(COUNT(C27:D27)&lt;2,"Sem dados",IF(D27=C27,"OK","Não bate"))</f>
        <v/>
      </c>
      <c r="G27" s="20">
        <f>IF(Presidente!G24="","",Presidente!G24)</f>
        <v/>
      </c>
      <c r="H27" s="20">
        <f>IF(Governador!M24="","",Governador!M24)</f>
        <v/>
      </c>
      <c r="I27" s="9">
        <f>IF(COUNT(G27:H27)&lt;2,"",H27-G27)</f>
        <v/>
      </c>
      <c r="J27" s="10">
        <f>IF(N(G27)=0,"",IF(I27="","",I27/G27))</f>
        <v/>
      </c>
      <c r="K27" s="20">
        <f>IF(COUNT(Presidente!H24:I24)=0,"",SUM(Presidente!H24:I24))</f>
        <v/>
      </c>
      <c r="L27" s="20">
        <f>IF(COUNT(Governador!N24:O24)=0,"",SUM(Governador!N24:O24))</f>
        <v/>
      </c>
      <c r="M27" s="9">
        <f>IF(COUNT(K27:L27)&lt;2,"",L27-K27)</f>
        <v/>
      </c>
      <c r="N27" s="9">
        <f>IF(COUNTIF('Presidente - Municípios'!A:A,A27)=0,"",SUMIFS('Presidente - Municípios'!F:F,'Presidente - Municípios'!A:A,A27))</f>
        <v/>
      </c>
      <c r="O27" s="9">
        <f>IF(COUNT(N27,G27)&lt;2,"Sem dados",IF(N27=G27,"OK","Não bate"))</f>
        <v/>
      </c>
      <c r="P27" s="9">
        <f>IF(COUNTIF('Governador - Municípios'!A:A,A27)=0,"",SUMIFS('Governador - Municípios'!F:F,'Governador - Municípios'!A:A,A27))</f>
        <v/>
      </c>
      <c r="Q27" s="9">
        <f>IF(COUNT(P27,H27)&lt;2,"Sem dados",IF(P27=H27,"OK","Não bate"))</f>
        <v/>
      </c>
    </row>
    <row r="28">
      <c r="A28" s="6" t="inlineStr">
        <is>
          <t>SC</t>
        </is>
      </c>
      <c r="B28" s="7" t="inlineStr">
        <is>
          <t>Santa Catarina</t>
        </is>
      </c>
      <c r="C28" s="20">
        <f>IF(Presidente!J25="","",Presidente!J25)</f>
        <v/>
      </c>
      <c r="D28" s="20">
        <f>IF(Governador!P25="","",Governador!P25)</f>
        <v/>
      </c>
      <c r="E28" s="9">
        <f>IF(COUNT(C28:D28)&lt;2,"",D28-C28)</f>
        <v/>
      </c>
      <c r="F28" s="9">
        <f>IF(COUNT(C28:D28)&lt;2,"Sem dados",IF(D28=C28,"OK","Não bate"))</f>
        <v/>
      </c>
      <c r="G28" s="20">
        <f>IF(Presidente!G25="","",Presidente!G25)</f>
        <v/>
      </c>
      <c r="H28" s="20">
        <f>IF(Governador!M25="","",Governador!M25)</f>
        <v/>
      </c>
      <c r="I28" s="9">
        <f>IF(COUNT(G28:H28)&lt;2,"",H28-G28)</f>
        <v/>
      </c>
      <c r="J28" s="10">
        <f>IF(N(G28)=0,"",IF(I28="","",I28/G28))</f>
        <v/>
      </c>
      <c r="K28" s="20">
        <f>IF(COUNT(Presidente!H25:I25)=0,"",SUM(Presidente!H25:I25))</f>
        <v/>
      </c>
      <c r="L28" s="20">
        <f>IF(COUNT(Governador!N25:O25)=0,"",SUM(Governador!N25:O25))</f>
        <v/>
      </c>
      <c r="M28" s="9">
        <f>IF(COUNT(K28:L28)&lt;2,"",L28-K28)</f>
        <v/>
      </c>
      <c r="N28" s="9">
        <f>IF(COUNTIF('Presidente - Municípios'!A:A,A28)=0,"",SUMIFS('Presidente - Municípios'!F:F,'Presidente - Municípios'!A:A,A28))</f>
        <v/>
      </c>
      <c r="O28" s="9">
        <f>IF(COUNT(N28,G28)&lt;2,"Sem dados",IF(N28=G28,"OK","Não bate"))</f>
        <v/>
      </c>
      <c r="P28" s="9">
        <f>IF(COUNTIF('Governador - Municípios'!A:A,A28)=0,"",SUMIFS('Governador - Municípios'!F:F,'Governador - Municípios'!A:A,A28))</f>
        <v/>
      </c>
      <c r="Q28" s="9">
        <f>IF(COUNT(P28,H28)&lt;2,"Sem dados",IF(P28=H28,"OK","Não bate"))</f>
        <v/>
      </c>
    </row>
    <row r="29">
      <c r="A29" s="6" t="inlineStr">
        <is>
          <t>SP</t>
        </is>
      </c>
      <c r="B29" s="7" t="inlineStr">
        <is>
          <t>São Paulo</t>
        </is>
      </c>
      <c r="C29" s="20">
        <f>IF(Presidente!J26="","",Presidente!J26)</f>
        <v/>
      </c>
      <c r="D29" s="20">
        <f>IF(Governador!P26="","",Governador!P26)</f>
        <v/>
      </c>
      <c r="E29" s="9">
        <f>IF(COUNT(C29:D29)&lt;2,"",D29-C29)</f>
        <v/>
      </c>
      <c r="F29" s="9">
        <f>IF(COUNT(C29:D29)&lt;2,"Sem dados",IF(D29=C29,"OK","Não bate"))</f>
        <v/>
      </c>
      <c r="G29" s="20">
        <f>IF(Presidente!G26="","",Presidente!G26)</f>
        <v/>
      </c>
      <c r="H29" s="20">
        <f>IF(Governador!M26="","",Governador!M26)</f>
        <v/>
      </c>
      <c r="I29" s="9">
        <f>IF(COUNT(G29:H29)&lt;2,"",H29-G29)</f>
        <v/>
      </c>
      <c r="J29" s="10">
        <f>IF(N(G29)=0,"",IF(I29="","",I29/G29))</f>
        <v/>
      </c>
      <c r="K29" s="20">
        <f>IF(COUNT(Presidente!H26:I26)=0,"",SUM(Presidente!H26:I26))</f>
        <v/>
      </c>
      <c r="L29" s="20">
        <f>IF(COUNT(Governador!N26:O26)=0,"",SUM(Governador!N26:O26))</f>
        <v/>
      </c>
      <c r="M29" s="9">
        <f>IF(COUNT(K29:L29)&lt;2,"",L29-K29)</f>
        <v/>
      </c>
      <c r="N29" s="9">
        <f>IF(COUNTIF('Presidente - Municípios'!A:A,A29)=0,"",SUMIFS('Presidente - Municípios'!F:F,'Presidente - Municípios'!A:A,A29))</f>
        <v/>
      </c>
      <c r="O29" s="9">
        <f>IF(COUNT(N29,G29)&lt;2,"Sem dados",IF(N29=G29,"OK","Não bate"))</f>
        <v/>
      </c>
      <c r="P29" s="9">
        <f>IF(COUNTIF('Governador - Municípios'!A:A,A29)=0,"",SUMIFS('Governador - Municípios'!F:F,'Governador - Municípios'!A:A,A29))</f>
        <v/>
      </c>
      <c r="Q29" s="9">
        <f>IF(COUNT(P29,H29)&lt;2,"Sem dados",IF(P29=H29,"OK","Não bate"))</f>
        <v/>
      </c>
    </row>
    <row r="30">
      <c r="A30" s="6" t="inlineStr">
        <is>
          <t>SE</t>
        </is>
      </c>
      <c r="B30" s="7" t="inlineStr">
        <is>
          <t>Sergipe</t>
        </is>
      </c>
      <c r="C30" s="20">
        <f>IF(Presidente!J27="","",Presidente!J27)</f>
        <v/>
      </c>
      <c r="D30" s="20">
        <f>IF(Governador!P27="","",Governador!P27)</f>
        <v/>
      </c>
      <c r="E30" s="9">
        <f>IF(COUNT(C30:D30)&lt;2,"",D30-C30)</f>
        <v/>
      </c>
      <c r="F30" s="9">
        <f>IF(COUNT(C30:D30)&lt;2,"Sem dados",IF(D30=C30,"OK","Não bate"))</f>
        <v/>
      </c>
      <c r="G30" s="20">
        <f>IF(Presidente!G27="","",Presidente!G27)</f>
        <v/>
      </c>
      <c r="H30" s="20">
        <f>IF(Governador!M27="","",Governador!M27)</f>
        <v/>
      </c>
      <c r="I30" s="9">
        <f>IF(COUNT(G30:H30)&lt;2,"",H30-G30)</f>
        <v/>
      </c>
      <c r="J30" s="10">
        <f>IF(N(G30)=0,"",IF(I30="","",I30/G30))</f>
        <v/>
      </c>
      <c r="K30" s="20">
        <f>IF(COUNT(Presidente!H27:I27)=0,"",SUM(Presidente!H27:I27))</f>
        <v/>
      </c>
      <c r="L30" s="20">
        <f>IF(COUNT(Governador!N27:O27)=0,"",SUM(Governador!N27:O27))</f>
        <v/>
      </c>
      <c r="M30" s="9">
        <f>IF(COUNT(K30:L30)&lt;2,"",L30-K30)</f>
        <v/>
      </c>
      <c r="N30" s="9">
        <f>IF(COUNTIF('Presidente - Municípios'!A:A,A30)=0,"",SUMIFS('Presidente - Municípios'!F:F,'Presidente - Municípios'!A:A,A30))</f>
        <v/>
      </c>
      <c r="O30" s="9">
        <f>IF(COUNT(N30,G30)&lt;2,"Sem dados",IF(N30=G30,"OK","Não bate"))</f>
        <v/>
      </c>
      <c r="P30" s="9">
        <f>IF(COUNTIF('Governador - Municípios'!A:A,A30)=0,"",SUMIFS('Governador - Municípios'!F:F,'Governador - Municípios'!A:A,A30))</f>
        <v/>
      </c>
      <c r="Q30" s="9">
        <f>IF(COUNT(P30,H30)&lt;2,"Sem dados",IF(P30=H30,"OK","Não bate"))</f>
        <v/>
      </c>
    </row>
    <row r="31">
      <c r="A31" s="6" t="inlineStr">
        <is>
          <t>TO</t>
        </is>
      </c>
      <c r="B31" s="7" t="inlineStr">
        <is>
          <t>Tocantins</t>
        </is>
      </c>
      <c r="C31" s="20">
        <f>IF(Presidente!J28="","",Presidente!J28)</f>
        <v/>
      </c>
      <c r="D31" s="20">
        <f>IF(Governador!P28="","",Governador!P28)</f>
        <v/>
      </c>
      <c r="E31" s="9">
        <f>IF(COUNT(C31:D31)&lt;2,"",D31-C31)</f>
        <v/>
      </c>
      <c r="F31" s="9">
        <f>IF(COUNT(C31:D31)&lt;2,"Sem dados",IF(D31=C31,"OK","Não bate"))</f>
        <v/>
      </c>
      <c r="G31" s="20">
        <f>IF(Presidente!G28="","",Presidente!G28)</f>
        <v/>
      </c>
      <c r="H31" s="20">
        <f>IF(Governador!M28="","",Governador!M28)</f>
        <v/>
      </c>
      <c r="I31" s="9">
        <f>IF(COUNT(G31:H31)&lt;2,"",H31-G31)</f>
        <v/>
      </c>
      <c r="J31" s="10">
        <f>IF(N(G31)=0,"",IF(I31="","",I31/G31))</f>
        <v/>
      </c>
      <c r="K31" s="20">
        <f>IF(COUNT(Presidente!H28:I28)=0,"",SUM(Presidente!H28:I28))</f>
        <v/>
      </c>
      <c r="L31" s="20">
        <f>IF(COUNT(Governador!N28:O28)=0,"",SUM(Governador!N28:O28))</f>
        <v/>
      </c>
      <c r="M31" s="9">
        <f>IF(COUNT(K31:L31)&lt;2,"",L31-K31)</f>
        <v/>
      </c>
      <c r="N31" s="9">
        <f>IF(COUNTIF('Presidente - Municípios'!A:A,A31)=0,"",SUMIFS('Presidente - Municípios'!F:F,'Presidente - Municípios'!A:A,A31))</f>
        <v/>
      </c>
      <c r="O31" s="9">
        <f>IF(COUNT(N31,G31)&lt;2,"Sem dados",IF(N31=G31,"OK","Não bate"))</f>
        <v/>
      </c>
      <c r="P31" s="9">
        <f>IF(COUNTIF('Governador - Municípios'!A:A,A31)=0,"",SUMIFS('Governador - Municípios'!F:F,'Governador - Municípios'!A:A,A31))</f>
        <v/>
      </c>
      <c r="Q31" s="9">
        <f>IF(COUNT(P31,H31)&lt;2,"Sem dados",IF(P31=H31,"OK","Não bate"))</f>
        <v/>
      </c>
    </row>
    <row r="32">
      <c r="A32" s="12" t="inlineStr">
        <is>
          <t>Total</t>
        </is>
      </c>
      <c r="C32" s="14">
        <f>SUM(C5:C31)</f>
        <v/>
      </c>
      <c r="D32" s="14">
        <f>SUM(D5:D31)</f>
        <v/>
      </c>
      <c r="E32" s="14">
        <f>SUM(E5:E31)</f>
        <v/>
      </c>
      <c r="G32" s="14">
        <f>SUM(G5:G31)</f>
        <v/>
      </c>
      <c r="H32" s="14">
        <f>SUM(H5:H31)</f>
        <v/>
      </c>
      <c r="I32" s="14">
        <f>SUM(I5:I31)</f>
        <v/>
      </c>
      <c r="K32" s="14">
        <f>SUM(K5:K31)</f>
        <v/>
      </c>
      <c r="L32" s="14">
        <f>SUM(L5:L31)</f>
        <v/>
      </c>
      <c r="M32" s="14">
        <f>SUM(M5:M31)</f>
        <v/>
      </c>
      <c r="N32" s="14">
        <f>SUM(N5:N31)</f>
        <v/>
      </c>
      <c r="P32" s="14">
        <f>SUM(P5:P31)</f>
        <v/>
      </c>
    </row>
    <row r="33">
      <c r="A33" s="13" t="inlineStr">
        <is>
          <t>Estados que não batem (comparecimento):</t>
        </is>
      </c>
      <c r="F33" s="12">
        <f>COUNTIF(F5:F31,"Não bate")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2026-10-06T03:11:06Z</dcterms:created>
  <dcterms:modified xsi:type="dcterms:W3CDTF">2026-10-06T03:11:06Z</dcterms:modified>
</cp:coreProperties>
</file>